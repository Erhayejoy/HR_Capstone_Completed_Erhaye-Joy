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JErhaye\Downloads\"/>
    </mc:Choice>
  </mc:AlternateContent>
  <xr:revisionPtr revIDLastSave="0" documentId="13_ncr:1_{EA113C18-1F8B-4831-A212-7DAAC2215D21}" xr6:coauthVersionLast="47" xr6:coauthVersionMax="47" xr10:uidLastSave="{00000000-0000-0000-0000-000000000000}"/>
  <bookViews>
    <workbookView xWindow="-110" yWindow="-110" windowWidth="19420" windowHeight="10300" firstSheet="2" activeTab="2" xr2:uid="{00000000-000D-0000-FFFF-FFFF00000000}"/>
  </bookViews>
  <sheets>
    <sheet name="Lookup_Departments" sheetId="2" r:id="rId1"/>
    <sheet name="Lookup_Performance" sheetId="3" r:id="rId2"/>
    <sheet name="Raw_Employee_Data" sheetId="1" r:id="rId3"/>
    <sheet name="Formula sheet" sheetId="4" r:id="rId4"/>
    <sheet name="Clean Data" sheetId="5" r:id="rId5"/>
    <sheet name="Analysis " sheetId="7" r:id="rId6"/>
    <sheet name="HR Dashboard" sheetId="8" r:id="rId7"/>
  </sheets>
  <definedNames>
    <definedName name="_xlnm._FilterDatabase" localSheetId="3" hidden="1">'Formula sheet'!$B$1:$S$151</definedName>
    <definedName name="Active">'Analysis '!$E$8</definedName>
    <definedName name="activestaff">'Analysis '!$F$14</definedName>
    <definedName name="Attritionrate">'Analysis '!$C$32</definedName>
    <definedName name="AVERAGESALARY">'Analysis '!$C$4</definedName>
    <definedName name="Bonusamount">'Analysis '!$D$4</definedName>
    <definedName name="HEADCOUNT">'Analysis '!$A$4</definedName>
    <definedName name="Left">'Analysis '!$E$9</definedName>
    <definedName name="leftstaff">'Analysis '!$F$15</definedName>
    <definedName name="Overallattrition">'Analysis '!$E$4</definedName>
    <definedName name="Resigned">'Analysis '!$E$10</definedName>
    <definedName name="resignedstaff">'Analysis '!$F$16</definedName>
    <definedName name="RESIGNEDTOTAL">'Analysis '!$C$37</definedName>
    <definedName name="SALARY">'Analysis '!$B$4</definedName>
    <definedName name="Slicer_Department">#N/A</definedName>
    <definedName name="Slicer_Employment_Status">#N/A</definedName>
    <definedName name="Slicer_Performance_Band">#N/A</definedName>
    <definedName name="Slicer_Years">#N/A</definedName>
    <definedName name="total">'Analysis '!$B$3:$B$4</definedName>
    <definedName name="TOTALSALARY">'Analysis '!$B$3:$B$4</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7" l="1"/>
  <c r="O2" i="4"/>
  <c r="P3" i="4"/>
  <c r="Q3" i="4" s="1"/>
  <c r="P4" i="4"/>
  <c r="Q4" i="4" s="1"/>
  <c r="P5" i="4"/>
  <c r="Q5" i="4" s="1"/>
  <c r="P6" i="4"/>
  <c r="Q6" i="4" s="1"/>
  <c r="P7" i="4"/>
  <c r="Q7" i="4" s="1"/>
  <c r="P8" i="4"/>
  <c r="Q8" i="4" s="1"/>
  <c r="P9" i="4"/>
  <c r="Q9" i="4" s="1"/>
  <c r="P10" i="4"/>
  <c r="Q10" i="4" s="1"/>
  <c r="P11" i="4"/>
  <c r="Q11" i="4" s="1"/>
  <c r="P12" i="4"/>
  <c r="Q12" i="4" s="1"/>
  <c r="P13" i="4"/>
  <c r="Q13" i="4" s="1"/>
  <c r="P14" i="4"/>
  <c r="Q14" i="4" s="1"/>
  <c r="P15" i="4"/>
  <c r="Q15" i="4" s="1"/>
  <c r="P16" i="4"/>
  <c r="Q16" i="4" s="1"/>
  <c r="P17" i="4"/>
  <c r="Q17" i="4" s="1"/>
  <c r="P18" i="4"/>
  <c r="Q18" i="4" s="1"/>
  <c r="P19" i="4"/>
  <c r="Q19" i="4" s="1"/>
  <c r="P20" i="4"/>
  <c r="Q20" i="4" s="1"/>
  <c r="P21" i="4"/>
  <c r="Q21" i="4" s="1"/>
  <c r="P22" i="4"/>
  <c r="Q22" i="4" s="1"/>
  <c r="P23" i="4"/>
  <c r="Q23" i="4" s="1"/>
  <c r="P24" i="4"/>
  <c r="Q24" i="4" s="1"/>
  <c r="P25" i="4"/>
  <c r="Q25" i="4" s="1"/>
  <c r="P26" i="4"/>
  <c r="Q26" i="4" s="1"/>
  <c r="P27" i="4"/>
  <c r="Q27" i="4" s="1"/>
  <c r="P28" i="4"/>
  <c r="Q28" i="4" s="1"/>
  <c r="P29" i="4"/>
  <c r="Q29" i="4" s="1"/>
  <c r="P30" i="4"/>
  <c r="Q30" i="4" s="1"/>
  <c r="P31" i="4"/>
  <c r="Q31" i="4" s="1"/>
  <c r="P32" i="4"/>
  <c r="Q32" i="4" s="1"/>
  <c r="P33" i="4"/>
  <c r="Q33" i="4" s="1"/>
  <c r="P34" i="4"/>
  <c r="Q34" i="4" s="1"/>
  <c r="P35" i="4"/>
  <c r="Q35" i="4" s="1"/>
  <c r="P36" i="4"/>
  <c r="Q36" i="4" s="1"/>
  <c r="P37" i="4"/>
  <c r="Q37" i="4" s="1"/>
  <c r="P38" i="4"/>
  <c r="Q38" i="4" s="1"/>
  <c r="P39" i="4"/>
  <c r="Q39" i="4" s="1"/>
  <c r="P40" i="4"/>
  <c r="Q40" i="4" s="1"/>
  <c r="P41" i="4"/>
  <c r="Q41" i="4" s="1"/>
  <c r="P42" i="4"/>
  <c r="Q42" i="4" s="1"/>
  <c r="P43" i="4"/>
  <c r="Q43" i="4" s="1"/>
  <c r="P44" i="4"/>
  <c r="Q44" i="4" s="1"/>
  <c r="P45" i="4"/>
  <c r="Q45" i="4" s="1"/>
  <c r="P46" i="4"/>
  <c r="Q46" i="4" s="1"/>
  <c r="P47" i="4"/>
  <c r="Q47" i="4" s="1"/>
  <c r="P48" i="4"/>
  <c r="Q48" i="4" s="1"/>
  <c r="P49" i="4"/>
  <c r="Q49" i="4" s="1"/>
  <c r="P50" i="4"/>
  <c r="Q50" i="4" s="1"/>
  <c r="P51" i="4"/>
  <c r="Q51" i="4" s="1"/>
  <c r="P52" i="4"/>
  <c r="Q52" i="4" s="1"/>
  <c r="P53" i="4"/>
  <c r="Q53" i="4" s="1"/>
  <c r="P54" i="4"/>
  <c r="Q54" i="4" s="1"/>
  <c r="P55" i="4"/>
  <c r="Q55" i="4" s="1"/>
  <c r="P56" i="4"/>
  <c r="Q56" i="4" s="1"/>
  <c r="P57" i="4"/>
  <c r="Q57" i="4" s="1"/>
  <c r="P58" i="4"/>
  <c r="Q58" i="4" s="1"/>
  <c r="P59" i="4"/>
  <c r="Q59" i="4" s="1"/>
  <c r="P60" i="4"/>
  <c r="Q60" i="4" s="1"/>
  <c r="P61" i="4"/>
  <c r="Q61" i="4" s="1"/>
  <c r="P62" i="4"/>
  <c r="Q62" i="4" s="1"/>
  <c r="P63" i="4"/>
  <c r="Q63" i="4" s="1"/>
  <c r="P64" i="4"/>
  <c r="Q64" i="4" s="1"/>
  <c r="P65" i="4"/>
  <c r="Q65" i="4" s="1"/>
  <c r="P66" i="4"/>
  <c r="Q66" i="4" s="1"/>
  <c r="P67" i="4"/>
  <c r="Q67" i="4" s="1"/>
  <c r="P68" i="4"/>
  <c r="Q68" i="4" s="1"/>
  <c r="P69" i="4"/>
  <c r="Q69" i="4" s="1"/>
  <c r="P70" i="4"/>
  <c r="Q70" i="4" s="1"/>
  <c r="P71" i="4"/>
  <c r="Q71" i="4" s="1"/>
  <c r="P72" i="4"/>
  <c r="Q72" i="4" s="1"/>
  <c r="P73" i="4"/>
  <c r="Q73" i="4" s="1"/>
  <c r="P74" i="4"/>
  <c r="Q74" i="4" s="1"/>
  <c r="P75" i="4"/>
  <c r="Q75" i="4" s="1"/>
  <c r="P76" i="4"/>
  <c r="Q76" i="4" s="1"/>
  <c r="P77" i="4"/>
  <c r="Q77" i="4" s="1"/>
  <c r="P78" i="4"/>
  <c r="Q78" i="4" s="1"/>
  <c r="P79" i="4"/>
  <c r="Q79" i="4" s="1"/>
  <c r="P80" i="4"/>
  <c r="Q80" i="4" s="1"/>
  <c r="P81" i="4"/>
  <c r="Q81" i="4" s="1"/>
  <c r="P82" i="4"/>
  <c r="Q82" i="4" s="1"/>
  <c r="P83" i="4"/>
  <c r="Q83" i="4" s="1"/>
  <c r="P84" i="4"/>
  <c r="Q84" i="4" s="1"/>
  <c r="P85" i="4"/>
  <c r="Q85" i="4" s="1"/>
  <c r="P86" i="4"/>
  <c r="Q86" i="4" s="1"/>
  <c r="P87" i="4"/>
  <c r="Q87" i="4" s="1"/>
  <c r="P88" i="4"/>
  <c r="Q88" i="4" s="1"/>
  <c r="P89" i="4"/>
  <c r="Q89" i="4" s="1"/>
  <c r="P90" i="4"/>
  <c r="Q90" i="4" s="1"/>
  <c r="P91" i="4"/>
  <c r="Q91" i="4" s="1"/>
  <c r="P92" i="4"/>
  <c r="Q92" i="4" s="1"/>
  <c r="P93" i="4"/>
  <c r="Q93" i="4" s="1"/>
  <c r="P94" i="4"/>
  <c r="Q94" i="4" s="1"/>
  <c r="P95" i="4"/>
  <c r="Q95" i="4" s="1"/>
  <c r="P96" i="4"/>
  <c r="Q96" i="4" s="1"/>
  <c r="P97" i="4"/>
  <c r="Q97" i="4" s="1"/>
  <c r="P98" i="4"/>
  <c r="Q98" i="4" s="1"/>
  <c r="P99" i="4"/>
  <c r="Q99" i="4" s="1"/>
  <c r="P100" i="4"/>
  <c r="Q100" i="4" s="1"/>
  <c r="P101" i="4"/>
  <c r="Q101" i="4" s="1"/>
  <c r="P102" i="4"/>
  <c r="Q102" i="4" s="1"/>
  <c r="P103" i="4"/>
  <c r="Q103" i="4" s="1"/>
  <c r="P104" i="4"/>
  <c r="Q104" i="4" s="1"/>
  <c r="P105" i="4"/>
  <c r="Q105" i="4" s="1"/>
  <c r="P106" i="4"/>
  <c r="Q106" i="4" s="1"/>
  <c r="P107" i="4"/>
  <c r="Q107" i="4" s="1"/>
  <c r="P108" i="4"/>
  <c r="Q108" i="4" s="1"/>
  <c r="P109" i="4"/>
  <c r="Q109" i="4" s="1"/>
  <c r="P110" i="4"/>
  <c r="Q110" i="4" s="1"/>
  <c r="P111" i="4"/>
  <c r="Q111" i="4" s="1"/>
  <c r="P112" i="4"/>
  <c r="Q112" i="4" s="1"/>
  <c r="P113" i="4"/>
  <c r="Q113" i="4" s="1"/>
  <c r="P114" i="4"/>
  <c r="Q114" i="4" s="1"/>
  <c r="P115" i="4"/>
  <c r="Q115" i="4" s="1"/>
  <c r="P116" i="4"/>
  <c r="Q116" i="4" s="1"/>
  <c r="P117" i="4"/>
  <c r="Q117" i="4" s="1"/>
  <c r="P118" i="4"/>
  <c r="Q118" i="4" s="1"/>
  <c r="P119" i="4"/>
  <c r="Q119" i="4" s="1"/>
  <c r="P120" i="4"/>
  <c r="Q120" i="4" s="1"/>
  <c r="P121" i="4"/>
  <c r="Q121" i="4" s="1"/>
  <c r="P122" i="4"/>
  <c r="Q122" i="4" s="1"/>
  <c r="P123" i="4"/>
  <c r="Q123" i="4" s="1"/>
  <c r="P124" i="4"/>
  <c r="Q124" i="4" s="1"/>
  <c r="P125" i="4"/>
  <c r="Q125" i="4" s="1"/>
  <c r="P126" i="4"/>
  <c r="Q126" i="4" s="1"/>
  <c r="P127" i="4"/>
  <c r="Q127" i="4" s="1"/>
  <c r="P128" i="4"/>
  <c r="Q128" i="4" s="1"/>
  <c r="P129" i="4"/>
  <c r="Q129" i="4" s="1"/>
  <c r="P130" i="4"/>
  <c r="Q130" i="4" s="1"/>
  <c r="P131" i="4"/>
  <c r="Q131" i="4" s="1"/>
  <c r="P132" i="4"/>
  <c r="Q132" i="4" s="1"/>
  <c r="P133" i="4"/>
  <c r="Q133" i="4" s="1"/>
  <c r="P134" i="4"/>
  <c r="Q134" i="4" s="1"/>
  <c r="P135" i="4"/>
  <c r="Q135" i="4" s="1"/>
  <c r="P136" i="4"/>
  <c r="Q136" i="4" s="1"/>
  <c r="P137" i="4"/>
  <c r="Q137" i="4" s="1"/>
  <c r="P138" i="4"/>
  <c r="Q138" i="4" s="1"/>
  <c r="P139" i="4"/>
  <c r="Q139" i="4" s="1"/>
  <c r="P140" i="4"/>
  <c r="Q140" i="4" s="1"/>
  <c r="P141" i="4"/>
  <c r="Q141" i="4" s="1"/>
  <c r="P142" i="4"/>
  <c r="Q142" i="4" s="1"/>
  <c r="P143" i="4"/>
  <c r="Q143" i="4" s="1"/>
  <c r="P144" i="4"/>
  <c r="Q144" i="4" s="1"/>
  <c r="P145" i="4"/>
  <c r="Q145" i="4" s="1"/>
  <c r="P146" i="4"/>
  <c r="Q146" i="4" s="1"/>
  <c r="P147" i="4"/>
  <c r="Q147" i="4" s="1"/>
  <c r="P148" i="4"/>
  <c r="Q148" i="4" s="1"/>
  <c r="P149" i="4"/>
  <c r="Q149" i="4" s="1"/>
  <c r="P150" i="4"/>
  <c r="Q150" i="4" s="1"/>
  <c r="P151" i="4"/>
  <c r="Q151" i="4" s="1"/>
  <c r="P2" i="4"/>
  <c r="Q2" i="4" s="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2" i="4"/>
  <c r="S13" i="4"/>
  <c r="S3" i="4"/>
  <c r="S4" i="4"/>
  <c r="S5" i="4"/>
  <c r="S6" i="4"/>
  <c r="S7" i="4"/>
  <c r="S8" i="4"/>
  <c r="S9" i="4"/>
  <c r="S10" i="4"/>
  <c r="S11" i="4"/>
  <c r="S12"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2" i="4"/>
  <c r="N2" i="4"/>
  <c r="L2" i="4"/>
  <c r="G3" i="4"/>
  <c r="H3" i="4" s="1"/>
  <c r="G4" i="4"/>
  <c r="H4" i="4" s="1"/>
  <c r="G5" i="4"/>
  <c r="H5" i="4" s="1"/>
  <c r="G6" i="4"/>
  <c r="H6" i="4" s="1"/>
  <c r="G7" i="4"/>
  <c r="H7" i="4" s="1"/>
  <c r="G8" i="4"/>
  <c r="H8" i="4" s="1"/>
  <c r="G9" i="4"/>
  <c r="H9" i="4" s="1"/>
  <c r="G10" i="4"/>
  <c r="H10" i="4" s="1"/>
  <c r="G11" i="4"/>
  <c r="H11" i="4" s="1"/>
  <c r="G12" i="4"/>
  <c r="H12" i="4" s="1"/>
  <c r="G13" i="4"/>
  <c r="H13" i="4" s="1"/>
  <c r="G14" i="4"/>
  <c r="H14" i="4" s="1"/>
  <c r="G15" i="4"/>
  <c r="H15" i="4" s="1"/>
  <c r="G16" i="4"/>
  <c r="H16" i="4" s="1"/>
  <c r="G17" i="4"/>
  <c r="H17" i="4" s="1"/>
  <c r="G18" i="4"/>
  <c r="H18" i="4" s="1"/>
  <c r="G19" i="4"/>
  <c r="H19" i="4" s="1"/>
  <c r="G20" i="4"/>
  <c r="H20" i="4" s="1"/>
  <c r="G21" i="4"/>
  <c r="H21" i="4" s="1"/>
  <c r="G22" i="4"/>
  <c r="H22" i="4" s="1"/>
  <c r="G23" i="4"/>
  <c r="H23" i="4" s="1"/>
  <c r="G24" i="4"/>
  <c r="H24" i="4" s="1"/>
  <c r="G25" i="4"/>
  <c r="H25" i="4" s="1"/>
  <c r="G26" i="4"/>
  <c r="H26" i="4" s="1"/>
  <c r="G27" i="4"/>
  <c r="H27" i="4" s="1"/>
  <c r="G28" i="4"/>
  <c r="H28" i="4" s="1"/>
  <c r="G29" i="4"/>
  <c r="H29" i="4" s="1"/>
  <c r="G30" i="4"/>
  <c r="H30" i="4" s="1"/>
  <c r="G31" i="4"/>
  <c r="H31" i="4" s="1"/>
  <c r="G32" i="4"/>
  <c r="H32" i="4" s="1"/>
  <c r="G33" i="4"/>
  <c r="H33" i="4" s="1"/>
  <c r="G34" i="4"/>
  <c r="H34" i="4" s="1"/>
  <c r="G35" i="4"/>
  <c r="H35" i="4" s="1"/>
  <c r="G36" i="4"/>
  <c r="H36" i="4" s="1"/>
  <c r="G37" i="4"/>
  <c r="H37" i="4" s="1"/>
  <c r="G38" i="4"/>
  <c r="H38" i="4" s="1"/>
  <c r="G39" i="4"/>
  <c r="H39" i="4" s="1"/>
  <c r="G40" i="4"/>
  <c r="H40" i="4" s="1"/>
  <c r="G41" i="4"/>
  <c r="H41" i="4" s="1"/>
  <c r="G42" i="4"/>
  <c r="H42" i="4" s="1"/>
  <c r="G43" i="4"/>
  <c r="H43" i="4" s="1"/>
  <c r="G44" i="4"/>
  <c r="H44" i="4" s="1"/>
  <c r="G45" i="4"/>
  <c r="H45" i="4" s="1"/>
  <c r="G46" i="4"/>
  <c r="H46" i="4" s="1"/>
  <c r="G47" i="4"/>
  <c r="H47" i="4" s="1"/>
  <c r="G48" i="4"/>
  <c r="H48" i="4" s="1"/>
  <c r="G49" i="4"/>
  <c r="H49" i="4" s="1"/>
  <c r="G50" i="4"/>
  <c r="H50" i="4" s="1"/>
  <c r="G51" i="4"/>
  <c r="H51" i="4" s="1"/>
  <c r="G52" i="4"/>
  <c r="H52" i="4" s="1"/>
  <c r="G53" i="4"/>
  <c r="H53" i="4" s="1"/>
  <c r="G54" i="4"/>
  <c r="H54" i="4" s="1"/>
  <c r="G55" i="4"/>
  <c r="H55" i="4" s="1"/>
  <c r="G56" i="4"/>
  <c r="H56" i="4" s="1"/>
  <c r="G57" i="4"/>
  <c r="H57" i="4" s="1"/>
  <c r="G58" i="4"/>
  <c r="H58" i="4" s="1"/>
  <c r="G59" i="4"/>
  <c r="H59" i="4" s="1"/>
  <c r="G60" i="4"/>
  <c r="H60" i="4" s="1"/>
  <c r="G61" i="4"/>
  <c r="H61" i="4" s="1"/>
  <c r="G62" i="4"/>
  <c r="H62" i="4" s="1"/>
  <c r="G63" i="4"/>
  <c r="H63" i="4" s="1"/>
  <c r="G64" i="4"/>
  <c r="H64" i="4" s="1"/>
  <c r="G65" i="4"/>
  <c r="H65" i="4" s="1"/>
  <c r="G66" i="4"/>
  <c r="H66" i="4" s="1"/>
  <c r="G67" i="4"/>
  <c r="H67" i="4" s="1"/>
  <c r="G68" i="4"/>
  <c r="H68" i="4" s="1"/>
  <c r="G69" i="4"/>
  <c r="H69" i="4" s="1"/>
  <c r="G70" i="4"/>
  <c r="H70" i="4" s="1"/>
  <c r="G71" i="4"/>
  <c r="H71" i="4" s="1"/>
  <c r="G72" i="4"/>
  <c r="H72" i="4" s="1"/>
  <c r="G73" i="4"/>
  <c r="H73" i="4" s="1"/>
  <c r="G74" i="4"/>
  <c r="H74" i="4" s="1"/>
  <c r="G75" i="4"/>
  <c r="H75" i="4" s="1"/>
  <c r="G76" i="4"/>
  <c r="H76" i="4" s="1"/>
  <c r="G77" i="4"/>
  <c r="H77" i="4" s="1"/>
  <c r="G78" i="4"/>
  <c r="H78" i="4" s="1"/>
  <c r="G79" i="4"/>
  <c r="H79" i="4" s="1"/>
  <c r="G80" i="4"/>
  <c r="H80" i="4" s="1"/>
  <c r="G81" i="4"/>
  <c r="H81" i="4" s="1"/>
  <c r="G82" i="4"/>
  <c r="H82" i="4" s="1"/>
  <c r="G83" i="4"/>
  <c r="H83" i="4" s="1"/>
  <c r="G84" i="4"/>
  <c r="H84" i="4" s="1"/>
  <c r="G85" i="4"/>
  <c r="H85" i="4" s="1"/>
  <c r="G86" i="4"/>
  <c r="H86" i="4" s="1"/>
  <c r="G87" i="4"/>
  <c r="H87" i="4" s="1"/>
  <c r="G88" i="4"/>
  <c r="H88" i="4" s="1"/>
  <c r="G89" i="4"/>
  <c r="H89" i="4" s="1"/>
  <c r="G90" i="4"/>
  <c r="H90" i="4" s="1"/>
  <c r="G91" i="4"/>
  <c r="H91" i="4" s="1"/>
  <c r="G92" i="4"/>
  <c r="H92" i="4" s="1"/>
  <c r="G93" i="4"/>
  <c r="H93" i="4" s="1"/>
  <c r="G94" i="4"/>
  <c r="H94" i="4" s="1"/>
  <c r="G95" i="4"/>
  <c r="H95" i="4" s="1"/>
  <c r="G96" i="4"/>
  <c r="H96" i="4" s="1"/>
  <c r="G97" i="4"/>
  <c r="H97" i="4" s="1"/>
  <c r="G98" i="4"/>
  <c r="H98" i="4" s="1"/>
  <c r="G99" i="4"/>
  <c r="H99" i="4" s="1"/>
  <c r="G100" i="4"/>
  <c r="H100" i="4" s="1"/>
  <c r="G101" i="4"/>
  <c r="H101" i="4" s="1"/>
  <c r="G102" i="4"/>
  <c r="H102" i="4" s="1"/>
  <c r="G103" i="4"/>
  <c r="H103" i="4" s="1"/>
  <c r="G104" i="4"/>
  <c r="H104" i="4" s="1"/>
  <c r="G105" i="4"/>
  <c r="H105" i="4" s="1"/>
  <c r="G106" i="4"/>
  <c r="H106" i="4" s="1"/>
  <c r="G107" i="4"/>
  <c r="H107" i="4" s="1"/>
  <c r="G108" i="4"/>
  <c r="H108" i="4" s="1"/>
  <c r="G109" i="4"/>
  <c r="H109" i="4" s="1"/>
  <c r="G110" i="4"/>
  <c r="H110" i="4" s="1"/>
  <c r="G111" i="4"/>
  <c r="H111" i="4" s="1"/>
  <c r="G112" i="4"/>
  <c r="H112" i="4" s="1"/>
  <c r="G113" i="4"/>
  <c r="H113" i="4" s="1"/>
  <c r="G114" i="4"/>
  <c r="H114" i="4" s="1"/>
  <c r="G115" i="4"/>
  <c r="H115" i="4" s="1"/>
  <c r="G116" i="4"/>
  <c r="H116" i="4" s="1"/>
  <c r="G117" i="4"/>
  <c r="H117" i="4" s="1"/>
  <c r="G118" i="4"/>
  <c r="H118" i="4" s="1"/>
  <c r="G119" i="4"/>
  <c r="H119" i="4" s="1"/>
  <c r="G120" i="4"/>
  <c r="H120" i="4" s="1"/>
  <c r="G121" i="4"/>
  <c r="H121" i="4" s="1"/>
  <c r="G122" i="4"/>
  <c r="H122" i="4" s="1"/>
  <c r="G123" i="4"/>
  <c r="H123" i="4" s="1"/>
  <c r="G124" i="4"/>
  <c r="H124" i="4" s="1"/>
  <c r="G125" i="4"/>
  <c r="H125" i="4" s="1"/>
  <c r="G126" i="4"/>
  <c r="H126" i="4" s="1"/>
  <c r="G127" i="4"/>
  <c r="H127" i="4" s="1"/>
  <c r="G128" i="4"/>
  <c r="H128" i="4" s="1"/>
  <c r="G129" i="4"/>
  <c r="H129" i="4" s="1"/>
  <c r="G130" i="4"/>
  <c r="H130" i="4" s="1"/>
  <c r="G131" i="4"/>
  <c r="H131" i="4" s="1"/>
  <c r="G132" i="4"/>
  <c r="H132" i="4" s="1"/>
  <c r="G133" i="4"/>
  <c r="H133" i="4" s="1"/>
  <c r="G134" i="4"/>
  <c r="H134" i="4" s="1"/>
  <c r="G135" i="4"/>
  <c r="H135" i="4" s="1"/>
  <c r="G136" i="4"/>
  <c r="H136" i="4" s="1"/>
  <c r="G137" i="4"/>
  <c r="H137" i="4" s="1"/>
  <c r="G138" i="4"/>
  <c r="H138" i="4" s="1"/>
  <c r="G139" i="4"/>
  <c r="H139" i="4" s="1"/>
  <c r="G140" i="4"/>
  <c r="H140" i="4" s="1"/>
  <c r="G141" i="4"/>
  <c r="H141" i="4" s="1"/>
  <c r="G142" i="4"/>
  <c r="H142" i="4" s="1"/>
  <c r="G143" i="4"/>
  <c r="H143" i="4" s="1"/>
  <c r="G144" i="4"/>
  <c r="H144" i="4" s="1"/>
  <c r="G145" i="4"/>
  <c r="H145" i="4" s="1"/>
  <c r="G146" i="4"/>
  <c r="H146" i="4" s="1"/>
  <c r="G147" i="4"/>
  <c r="H147" i="4" s="1"/>
  <c r="G148" i="4"/>
  <c r="H148" i="4" s="1"/>
  <c r="G149" i="4"/>
  <c r="H149" i="4" s="1"/>
  <c r="G150" i="4"/>
  <c r="H150" i="4" s="1"/>
  <c r="G151" i="4"/>
  <c r="H151" i="4" s="1"/>
  <c r="G2" i="4"/>
  <c r="H2" i="4" s="1"/>
</calcChain>
</file>

<file path=xl/sharedStrings.xml><?xml version="1.0" encoding="utf-8"?>
<sst xmlns="http://schemas.openxmlformats.org/spreadsheetml/2006/main" count="2817" uniqueCount="452">
  <si>
    <t>Emp ID</t>
  </si>
  <si>
    <t>First_Name</t>
  </si>
  <si>
    <t>Last_Name</t>
  </si>
  <si>
    <t>Dept Code</t>
  </si>
  <si>
    <t>Hire Date</t>
  </si>
  <si>
    <t>Salary</t>
  </si>
  <si>
    <t>Perf_Score</t>
  </si>
  <si>
    <t>Employment Status</t>
  </si>
  <si>
    <t>EMP127</t>
  </si>
  <si>
    <t>Emily</t>
  </si>
  <si>
    <t>Brown</t>
  </si>
  <si>
    <t>IT02</t>
  </si>
  <si>
    <t>active</t>
  </si>
  <si>
    <t>EMP046</t>
  </si>
  <si>
    <t>Richard</t>
  </si>
  <si>
    <t>Hernandez</t>
  </si>
  <si>
    <t>MKT04</t>
  </si>
  <si>
    <t xml:space="preserve"> ACTIVE </t>
  </si>
  <si>
    <t>EMP134</t>
  </si>
  <si>
    <t>Gonzalez</t>
  </si>
  <si>
    <t xml:space="preserve"> IT02 </t>
  </si>
  <si>
    <t>$114,425</t>
  </si>
  <si>
    <t xml:space="preserve"> LEFT </t>
  </si>
  <si>
    <t>EMP139</t>
  </si>
  <si>
    <t>John</t>
  </si>
  <si>
    <t>Martinez</t>
  </si>
  <si>
    <t>FIN03</t>
  </si>
  <si>
    <t>EMP112</t>
  </si>
  <si>
    <t>Thomas</t>
  </si>
  <si>
    <t>Smith</t>
  </si>
  <si>
    <t>Left</t>
  </si>
  <si>
    <t>EMP030</t>
  </si>
  <si>
    <t>Johnson</t>
  </si>
  <si>
    <t>OPS06</t>
  </si>
  <si>
    <t>02-Mar-20</t>
  </si>
  <si>
    <t>EMP096</t>
  </si>
  <si>
    <t>Wilson</t>
  </si>
  <si>
    <t xml:space="preserve"> OPS06 </t>
  </si>
  <si>
    <t>EMP098</t>
  </si>
  <si>
    <t>Jessica</t>
  </si>
  <si>
    <t>EMP095</t>
  </si>
  <si>
    <t>Rodriguez</t>
  </si>
  <si>
    <t>EMP140</t>
  </si>
  <si>
    <t>Michael</t>
  </si>
  <si>
    <t>SAL05</t>
  </si>
  <si>
    <t>Active</t>
  </si>
  <si>
    <t>EMP020</t>
  </si>
  <si>
    <t>Miller</t>
  </si>
  <si>
    <t>sal05</t>
  </si>
  <si>
    <t>$118,635</t>
  </si>
  <si>
    <t>EMP057</t>
  </si>
  <si>
    <t>Actv</t>
  </si>
  <si>
    <t>EMP016</t>
  </si>
  <si>
    <t>Jane</t>
  </si>
  <si>
    <t>Williams</t>
  </si>
  <si>
    <t>mkt04</t>
  </si>
  <si>
    <t>17-Jun-21</t>
  </si>
  <si>
    <t>EMP070</t>
  </si>
  <si>
    <t>EMP025</t>
  </si>
  <si>
    <t>Robert</t>
  </si>
  <si>
    <t>Jones</t>
  </si>
  <si>
    <t xml:space="preserve"> MKT04 </t>
  </si>
  <si>
    <t>EMP031</t>
  </si>
  <si>
    <t>EMP126</t>
  </si>
  <si>
    <t>Davis</t>
  </si>
  <si>
    <t>EMP109</t>
  </si>
  <si>
    <t>James</t>
  </si>
  <si>
    <t>EMP066</t>
  </si>
  <si>
    <t>Ashley</t>
  </si>
  <si>
    <t>Lopez</t>
  </si>
  <si>
    <t>EMP120</t>
  </si>
  <si>
    <t>Amanda</t>
  </si>
  <si>
    <t>EMP019</t>
  </si>
  <si>
    <t>EMP013</t>
  </si>
  <si>
    <t>EMP010</t>
  </si>
  <si>
    <t>EMP032</t>
  </si>
  <si>
    <t xml:space="preserve"> FIN03 </t>
  </si>
  <si>
    <t>EMP082</t>
  </si>
  <si>
    <t>EMP052</t>
  </si>
  <si>
    <t xml:space="preserve"> SAL05 </t>
  </si>
  <si>
    <t>EMP129</t>
  </si>
  <si>
    <t>09/24/2019</t>
  </si>
  <si>
    <t>$77,610</t>
  </si>
  <si>
    <t>EMP146</t>
  </si>
  <si>
    <t>it02</t>
  </si>
  <si>
    <t>$50,873</t>
  </si>
  <si>
    <t>EMP099</t>
  </si>
  <si>
    <t>fin03</t>
  </si>
  <si>
    <t>13-May-18</t>
  </si>
  <si>
    <t>EMP015</t>
  </si>
  <si>
    <t>EMP076</t>
  </si>
  <si>
    <t>05-Aug-15</t>
  </si>
  <si>
    <t>EMP137</t>
  </si>
  <si>
    <t>EMP056</t>
  </si>
  <si>
    <t>Sarah</t>
  </si>
  <si>
    <t>10-Jun-19</t>
  </si>
  <si>
    <t>EMP125</t>
  </si>
  <si>
    <t>HR01</t>
  </si>
  <si>
    <t>EMP085</t>
  </si>
  <si>
    <t>03-Jul-17</t>
  </si>
  <si>
    <t>EMP106</t>
  </si>
  <si>
    <t>01-Sep-15</t>
  </si>
  <si>
    <t>EMP043</t>
  </si>
  <si>
    <t>03-Aug-22</t>
  </si>
  <si>
    <t>EMP068</t>
  </si>
  <si>
    <t>Melissa</t>
  </si>
  <si>
    <t>06/29/2022</t>
  </si>
  <si>
    <t>EMP128</t>
  </si>
  <si>
    <t>left</t>
  </si>
  <si>
    <t>EMP027</t>
  </si>
  <si>
    <t>09/09/2017</t>
  </si>
  <si>
    <t>EMP136</t>
  </si>
  <si>
    <t>EMP079</t>
  </si>
  <si>
    <t>David</t>
  </si>
  <si>
    <t>EMP149</t>
  </si>
  <si>
    <t>$66,606</t>
  </si>
  <si>
    <t>Resigned</t>
  </si>
  <si>
    <t>EMP037</t>
  </si>
  <si>
    <t>EMP077</t>
  </si>
  <si>
    <t>07/14/2016</t>
  </si>
  <si>
    <t>EMP023</t>
  </si>
  <si>
    <t>EMP133</t>
  </si>
  <si>
    <t>10-Jul-19</t>
  </si>
  <si>
    <t>EMP141</t>
  </si>
  <si>
    <t>EMP012</t>
  </si>
  <si>
    <t>EMP080</t>
  </si>
  <si>
    <t>$75,023</t>
  </si>
  <si>
    <t>EMP069</t>
  </si>
  <si>
    <t>EMP150</t>
  </si>
  <si>
    <t>EMP028</t>
  </si>
  <si>
    <t>10/07/2019</t>
  </si>
  <si>
    <t>EMP087</t>
  </si>
  <si>
    <t>EMP119</t>
  </si>
  <si>
    <t>Garcia</t>
  </si>
  <si>
    <t>EMP042</t>
  </si>
  <si>
    <t>Anderson</t>
  </si>
  <si>
    <t>EMP005</t>
  </si>
  <si>
    <t>EMP033</t>
  </si>
  <si>
    <t>hr01</t>
  </si>
  <si>
    <t>02/07/2018</t>
  </si>
  <si>
    <t>EMP061</t>
  </si>
  <si>
    <t>EMP102</t>
  </si>
  <si>
    <t>EMP067</t>
  </si>
  <si>
    <t>EMP017</t>
  </si>
  <si>
    <t>EMP123</t>
  </si>
  <si>
    <t>$75,519</t>
  </si>
  <si>
    <t>EMP011</t>
  </si>
  <si>
    <t>EMP091</t>
  </si>
  <si>
    <t>EMP145</t>
  </si>
  <si>
    <t>11/11/2016</t>
  </si>
  <si>
    <t>$50,936</t>
  </si>
  <si>
    <t>EMP001</t>
  </si>
  <si>
    <t>24-Mar-17</t>
  </si>
  <si>
    <t>$111,240</t>
  </si>
  <si>
    <t>EMP113</t>
  </si>
  <si>
    <t>05-May-19</t>
  </si>
  <si>
    <t>EMP065</t>
  </si>
  <si>
    <t xml:space="preserve"> HR01 </t>
  </si>
  <si>
    <t>EMP045</t>
  </si>
  <si>
    <t>EMP083</t>
  </si>
  <si>
    <t>William</t>
  </si>
  <si>
    <t>EMP029</t>
  </si>
  <si>
    <t>EMP041</t>
  </si>
  <si>
    <t>EMP026</t>
  </si>
  <si>
    <t>EMP024</t>
  </si>
  <si>
    <t>ops06</t>
  </si>
  <si>
    <t>11-Oct-16</t>
  </si>
  <si>
    <t>EMP111</t>
  </si>
  <si>
    <t>EMP040</t>
  </si>
  <si>
    <t>02/19/2017</t>
  </si>
  <si>
    <t>$86,246</t>
  </si>
  <si>
    <t>EMP086</t>
  </si>
  <si>
    <t>09/07/2021</t>
  </si>
  <si>
    <t>EMP124</t>
  </si>
  <si>
    <t>EMP132</t>
  </si>
  <si>
    <t>EMP048</t>
  </si>
  <si>
    <t>09/29/2018</t>
  </si>
  <si>
    <t>$47,694</t>
  </si>
  <si>
    <t>EMP114</t>
  </si>
  <si>
    <t>EMP062</t>
  </si>
  <si>
    <t>EMP074</t>
  </si>
  <si>
    <t>07-Feb-21</t>
  </si>
  <si>
    <t>EMP034</t>
  </si>
  <si>
    <t>10/04/2023</t>
  </si>
  <si>
    <t>EMP105</t>
  </si>
  <si>
    <t>EMP118</t>
  </si>
  <si>
    <t>EMP063</t>
  </si>
  <si>
    <t>27-Nov-19</t>
  </si>
  <si>
    <t>EMP094</t>
  </si>
  <si>
    <t>25-May-17</t>
  </si>
  <si>
    <t>$77,545</t>
  </si>
  <si>
    <t>EMP097</t>
  </si>
  <si>
    <t>EMP054</t>
  </si>
  <si>
    <t>EMP006</t>
  </si>
  <si>
    <t>EMP110</t>
  </si>
  <si>
    <t>$88,056</t>
  </si>
  <si>
    <t>EMP147</t>
  </si>
  <si>
    <t>EMP050</t>
  </si>
  <si>
    <t>$115,288</t>
  </si>
  <si>
    <t>EMP036</t>
  </si>
  <si>
    <t>EMP081</t>
  </si>
  <si>
    <t>EMP078</t>
  </si>
  <si>
    <t>EMP035</t>
  </si>
  <si>
    <t>03/08/2019</t>
  </si>
  <si>
    <t>EMP047</t>
  </si>
  <si>
    <t>11-Mar-15</t>
  </si>
  <si>
    <t>EMP008</t>
  </si>
  <si>
    <t>19-Feb-17</t>
  </si>
  <si>
    <t>EMP044</t>
  </si>
  <si>
    <t>$49,942</t>
  </si>
  <si>
    <t>EMP071</t>
  </si>
  <si>
    <t>EMP115</t>
  </si>
  <si>
    <t>EMP092</t>
  </si>
  <si>
    <t>05/22/2016</t>
  </si>
  <si>
    <t>EMP084</t>
  </si>
  <si>
    <t>EMP142</t>
  </si>
  <si>
    <t>EMP143</t>
  </si>
  <si>
    <t>13-Nov-16</t>
  </si>
  <si>
    <t>$77,737</t>
  </si>
  <si>
    <t>EMP090</t>
  </si>
  <si>
    <t>$95,686</t>
  </si>
  <si>
    <t>EMP009</t>
  </si>
  <si>
    <t>EMP014</t>
  </si>
  <si>
    <t>13-Aug-21</t>
  </si>
  <si>
    <t>$109,121</t>
  </si>
  <si>
    <t>EMP060</t>
  </si>
  <si>
    <t>$112,791</t>
  </si>
  <si>
    <t>EMP135</t>
  </si>
  <si>
    <t>05-Jul-22</t>
  </si>
  <si>
    <t>EMP004</t>
  </si>
  <si>
    <t>07/10/2016</t>
  </si>
  <si>
    <t>EMP018</t>
  </si>
  <si>
    <t>EMP039</t>
  </si>
  <si>
    <t>05/10/2017</t>
  </si>
  <si>
    <t>EMP073</t>
  </si>
  <si>
    <t>EMP138</t>
  </si>
  <si>
    <t>04/20/2023</t>
  </si>
  <si>
    <t>EMP007</t>
  </si>
  <si>
    <t>EMP144</t>
  </si>
  <si>
    <t>24-Oct-21</t>
  </si>
  <si>
    <t>EMP101</t>
  </si>
  <si>
    <t>EMP003</t>
  </si>
  <si>
    <t>EMP121</t>
  </si>
  <si>
    <t>10-Aug-20</t>
  </si>
  <si>
    <t>$68,092</t>
  </si>
  <si>
    <t>EMP064</t>
  </si>
  <si>
    <t>EMP116</t>
  </si>
  <si>
    <t>24-Mar-18</t>
  </si>
  <si>
    <t>EMP055</t>
  </si>
  <si>
    <t>EMP108</t>
  </si>
  <si>
    <t>EMP051</t>
  </si>
  <si>
    <t>04-Mar-16</t>
  </si>
  <si>
    <t>EMP059</t>
  </si>
  <si>
    <t>EMP049</t>
  </si>
  <si>
    <t>28-Jul-17</t>
  </si>
  <si>
    <t>$115,618</t>
  </si>
  <si>
    <t>EMP089</t>
  </si>
  <si>
    <t>05/11/2023</t>
  </si>
  <si>
    <t>$110,618</t>
  </si>
  <si>
    <t>EMP022</t>
  </si>
  <si>
    <t>19-Mar-22</t>
  </si>
  <si>
    <t>EMP058</t>
  </si>
  <si>
    <t>EMP130</t>
  </si>
  <si>
    <t>08/29/2021</t>
  </si>
  <si>
    <t>EMP038</t>
  </si>
  <si>
    <t>$61,547</t>
  </si>
  <si>
    <t>EMP148</t>
  </si>
  <si>
    <t>EMP002</t>
  </si>
  <si>
    <t>03-Oct-17</t>
  </si>
  <si>
    <t>EMP053</t>
  </si>
  <si>
    <t>10/22/2015</t>
  </si>
  <si>
    <t>EMP131</t>
  </si>
  <si>
    <t>EMP104</t>
  </si>
  <si>
    <t>EMP100</t>
  </si>
  <si>
    <t>EMP117</t>
  </si>
  <si>
    <t>$108,119</t>
  </si>
  <si>
    <t>EMP088</t>
  </si>
  <si>
    <t>EMP075</t>
  </si>
  <si>
    <t>EMP122</t>
  </si>
  <si>
    <t>01/12/2019</t>
  </si>
  <si>
    <t>EMP021</t>
  </si>
  <si>
    <t>EMP072</t>
  </si>
  <si>
    <t>EMP107</t>
  </si>
  <si>
    <t>EMP093</t>
  </si>
  <si>
    <t>03-Nov-16</t>
  </si>
  <si>
    <t>EMP103</t>
  </si>
  <si>
    <t>$118,634</t>
  </si>
  <si>
    <t>Dept_Code</t>
  </si>
  <si>
    <t>Department_Name</t>
  </si>
  <si>
    <t>Human Resources</t>
  </si>
  <si>
    <t>Information Technology</t>
  </si>
  <si>
    <t>Finance</t>
  </si>
  <si>
    <t>Marketing</t>
  </si>
  <si>
    <t>Sales</t>
  </si>
  <si>
    <t>Operations</t>
  </si>
  <si>
    <t>Min_Score</t>
  </si>
  <si>
    <t>Max_Score</t>
  </si>
  <si>
    <t>Performance_Band</t>
  </si>
  <si>
    <t>Bonus_Percentage</t>
  </si>
  <si>
    <t>Needs Improvement</t>
  </si>
  <si>
    <t>Developing</t>
  </si>
  <si>
    <t>Achieving</t>
  </si>
  <si>
    <t>Exceeding</t>
  </si>
  <si>
    <t>Outstanding</t>
  </si>
  <si>
    <t>Full Name</t>
  </si>
  <si>
    <t>Emily Brown</t>
  </si>
  <si>
    <t>Richard Hernandez</t>
  </si>
  <si>
    <t>Emily Gonzalez</t>
  </si>
  <si>
    <t>John Martinez</t>
  </si>
  <si>
    <t>Thomas Smith</t>
  </si>
  <si>
    <t>Emily Johnson</t>
  </si>
  <si>
    <t>John Wilson</t>
  </si>
  <si>
    <t>Jessica Smith</t>
  </si>
  <si>
    <t>Rodriguez Rodriguez</t>
  </si>
  <si>
    <t>Michael Martinez</t>
  </si>
  <si>
    <t>Emily Miller</t>
  </si>
  <si>
    <t>Emily Hernandez</t>
  </si>
  <si>
    <t>Jane Williams</t>
  </si>
  <si>
    <t>Jane Miller</t>
  </si>
  <si>
    <t>Robert Jones</t>
  </si>
  <si>
    <t>Thomas Rodriguez</t>
  </si>
  <si>
    <t>Emily Davis</t>
  </si>
  <si>
    <t>James Martinez</t>
  </si>
  <si>
    <t>Ashley Lopez</t>
  </si>
  <si>
    <t>Amanda Gonzalez</t>
  </si>
  <si>
    <t>Michael Hernandez</t>
  </si>
  <si>
    <t>Michael Rodriguez</t>
  </si>
  <si>
    <t>Jessica Johnson</t>
  </si>
  <si>
    <t>Ashley Williams</t>
  </si>
  <si>
    <t>Williams Williams</t>
  </si>
  <si>
    <t>Michael Wilson</t>
  </si>
  <si>
    <t>John Rodriguez</t>
  </si>
  <si>
    <t>Thomas Hernandez</t>
  </si>
  <si>
    <t>Michael Johnson</t>
  </si>
  <si>
    <t>Sarah Brown</t>
  </si>
  <si>
    <t>Jane Martinez</t>
  </si>
  <si>
    <t>Emily Jones</t>
  </si>
  <si>
    <t>Brown Brown</t>
  </si>
  <si>
    <t>Melissa Brown</t>
  </si>
  <si>
    <t>Michael Smith</t>
  </si>
  <si>
    <t>Sarah Miller</t>
  </si>
  <si>
    <t>Emily Wilson</t>
  </si>
  <si>
    <t>David Hernandez</t>
  </si>
  <si>
    <t>James Smith</t>
  </si>
  <si>
    <t>Sarah Williams</t>
  </si>
  <si>
    <t>Amanda Lopez</t>
  </si>
  <si>
    <t>Thomas Lopez</t>
  </si>
  <si>
    <t>Melissa Johnson</t>
  </si>
  <si>
    <t>Amanda Johnson</t>
  </si>
  <si>
    <t>John Davis</t>
  </si>
  <si>
    <t>James Johnson</t>
  </si>
  <si>
    <t>Jane Davis</t>
  </si>
  <si>
    <t>Richard Davis</t>
  </si>
  <si>
    <t>Emily Garcia</t>
  </si>
  <si>
    <t>Jane Anderson</t>
  </si>
  <si>
    <t>Thomas Garcia</t>
  </si>
  <si>
    <t>David Martinez</t>
  </si>
  <si>
    <t>Michael Anderson</t>
  </si>
  <si>
    <t>Robert Johnson</t>
  </si>
  <si>
    <t>Robert Miller</t>
  </si>
  <si>
    <t>Thomas Davis</t>
  </si>
  <si>
    <t>Thomas Jones</t>
  </si>
  <si>
    <t>Michael Miller</t>
  </si>
  <si>
    <t>Richard Gonzalez</t>
  </si>
  <si>
    <t>Melissa Williams</t>
  </si>
  <si>
    <t>William Garcia</t>
  </si>
  <si>
    <t>John Gonzalez</t>
  </si>
  <si>
    <t>James Gonzalez</t>
  </si>
  <si>
    <t>Jane Gonzalez</t>
  </si>
  <si>
    <t>David Wilson</t>
  </si>
  <si>
    <t>Jane Rodriguez</t>
  </si>
  <si>
    <t>Jessica Garcia</t>
  </si>
  <si>
    <t>Richard Smith</t>
  </si>
  <si>
    <t>Melissa Wilson</t>
  </si>
  <si>
    <t>Thomas Williams</t>
  </si>
  <si>
    <t>David Williams</t>
  </si>
  <si>
    <t>John Johnson</t>
  </si>
  <si>
    <t>Melissa Anderson</t>
  </si>
  <si>
    <t>William Gonzalez</t>
  </si>
  <si>
    <t>Jessica Anderson</t>
  </si>
  <si>
    <t>Thomas Miller</t>
  </si>
  <si>
    <t>Smith Smith</t>
  </si>
  <si>
    <t>Jane Johnson</t>
  </si>
  <si>
    <t>John Jones</t>
  </si>
  <si>
    <t>Jane Lopez</t>
  </si>
  <si>
    <t>Melissa Gonzalez</t>
  </si>
  <si>
    <t>William Davis</t>
  </si>
  <si>
    <t>John Smith</t>
  </si>
  <si>
    <t>William Williams</t>
  </si>
  <si>
    <t>James Jones</t>
  </si>
  <si>
    <t>Jessica Gonzalez</t>
  </si>
  <si>
    <t>Amanda Brown</t>
  </si>
  <si>
    <t>Robert Martinez</t>
  </si>
  <si>
    <t>David Rodriguez</t>
  </si>
  <si>
    <t>James Rodriguez</t>
  </si>
  <si>
    <t>Sarah Rodriguez</t>
  </si>
  <si>
    <t>Sarah Wilson</t>
  </si>
  <si>
    <t>Robert Williams</t>
  </si>
  <si>
    <t>Melissa Rodriguez</t>
  </si>
  <si>
    <t>William Jones</t>
  </si>
  <si>
    <t>David Anderson</t>
  </si>
  <si>
    <t>Sarah Smith</t>
  </si>
  <si>
    <t>Melissa Hernandez</t>
  </si>
  <si>
    <t>Jane Garcia</t>
  </si>
  <si>
    <t>David Davis</t>
  </si>
  <si>
    <t>James Wilson</t>
  </si>
  <si>
    <t>Richard Johnson</t>
  </si>
  <si>
    <t>Richard Williams</t>
  </si>
  <si>
    <t>John Hernandez</t>
  </si>
  <si>
    <t>Sarah Gonzalez</t>
  </si>
  <si>
    <t>Jones Jones</t>
  </si>
  <si>
    <t>William Rodriguez</t>
  </si>
  <si>
    <t>Melissa Miller</t>
  </si>
  <si>
    <t>Emily Martinez</t>
  </si>
  <si>
    <t>Department</t>
  </si>
  <si>
    <t xml:space="preserve">Full name : Flash fill </t>
  </si>
  <si>
    <t>Dept code: Upper and trim</t>
  </si>
  <si>
    <t>Hiring Date : Text to column</t>
  </si>
  <si>
    <t>Average Salary</t>
  </si>
  <si>
    <t>Emepty Salary sapce was filled with Averagesalary</t>
  </si>
  <si>
    <t>Aveage score</t>
  </si>
  <si>
    <t>Years of Service</t>
  </si>
  <si>
    <t>Performance Band</t>
  </si>
  <si>
    <t>Performance_Band: if function</t>
  </si>
  <si>
    <t>Eligible Bonus Amount</t>
  </si>
  <si>
    <t>Eligible Bonus</t>
  </si>
  <si>
    <t>Eligible Bonus Percentage</t>
  </si>
  <si>
    <t>Sum of Salary</t>
  </si>
  <si>
    <t>Count of Emp ID</t>
  </si>
  <si>
    <t>Total Head Count</t>
  </si>
  <si>
    <t>Average of Salary</t>
  </si>
  <si>
    <t>(All)</t>
  </si>
  <si>
    <t>Average of Perf_Score</t>
  </si>
  <si>
    <t>Total Head count</t>
  </si>
  <si>
    <t>Percentage Employment Status</t>
  </si>
  <si>
    <t>Active Total</t>
  </si>
  <si>
    <t>Left Total</t>
  </si>
  <si>
    <t>Total of Eligible Bonus Amount</t>
  </si>
  <si>
    <t>Count of Perf_Score</t>
  </si>
  <si>
    <t>Years</t>
  </si>
  <si>
    <t>Head count and Aveage Salary By Department</t>
  </si>
  <si>
    <t>Employment Status By Performance Score</t>
  </si>
  <si>
    <t>Performamnce Band By Payout Bonus</t>
  </si>
  <si>
    <t>Sum of Eligible Bonus Amount</t>
  </si>
  <si>
    <t>Employee couny By Emplotment Status across the Years</t>
  </si>
  <si>
    <t>Department: Vlookup</t>
  </si>
  <si>
    <t>Eligibility Bonus : If function</t>
  </si>
  <si>
    <t>Employment Status: Proper trim</t>
  </si>
  <si>
    <t>Years of Service: Datedif</t>
  </si>
  <si>
    <t xml:space="preserve">Average performance Score Employment status </t>
  </si>
  <si>
    <t>Attrition Rate By department</t>
  </si>
  <si>
    <t>OVERALL ATRRITION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</si>
</sst>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quot;₦&quot;* #,##0_-;_-&quot;₦&quot;* &quot;-&quot;_-;_-@_-"/>
    <numFmt numFmtId="164" formatCode="yyyy\-mm\-dd\ hh:mm:ss"/>
    <numFmt numFmtId="165" formatCode="dd/mm/yyyy;@"/>
    <numFmt numFmtId="166" formatCode="[$₦-470]\ #,##0"/>
    <numFmt numFmtId="167" formatCode="&quot;$&quot;#,##0.00"/>
    <numFmt numFmtId="168" formatCode="[$₦-470]\ #,##0.00"/>
    <numFmt numFmtId="169" formatCode="[$₦-470]\ #,##0.0"/>
  </numFmts>
  <fonts count="8" x14ac:knownFonts="1">
    <font>
      <sz val="11"/>
      <color theme="1"/>
      <name val="Calibri"/>
      <family val="2"/>
      <scheme val="minor"/>
    </font>
    <font>
      <b/>
      <sz val="11"/>
      <name val="Calibri"/>
      <family val="2"/>
    </font>
    <font>
      <b/>
      <sz val="11"/>
      <name val="Calibri"/>
      <family val="2"/>
    </font>
    <font>
      <b/>
      <sz val="10"/>
      <color theme="1"/>
      <name val="Calibri"/>
      <family val="2"/>
      <scheme val="minor"/>
    </font>
    <font>
      <b/>
      <sz val="10"/>
      <name val="Calibri"/>
      <family val="2"/>
    </font>
    <font>
      <b/>
      <sz val="10"/>
      <color rgb="FF1F2328"/>
      <name val="Calibri"/>
      <family val="2"/>
      <scheme val="minor"/>
    </font>
    <font>
      <b/>
      <sz val="11"/>
      <color theme="1"/>
      <name val="Calibri"/>
      <family val="2"/>
      <scheme val="minor"/>
    </font>
    <font>
      <sz val="11"/>
      <name val="Calibri"/>
      <family val="2"/>
    </font>
  </fonts>
  <fills count="5">
    <fill>
      <patternFill patternType="none"/>
    </fill>
    <fill>
      <patternFill patternType="gray125"/>
    </fill>
    <fill>
      <patternFill patternType="solid">
        <fgColor rgb="FFFFC000"/>
        <bgColor indexed="64"/>
      </patternFill>
    </fill>
    <fill>
      <patternFill patternType="solid">
        <fgColor theme="8" tint="-0.249977111117893"/>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5">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1" fillId="0" borderId="1" xfId="0" applyNumberFormat="1" applyFont="1" applyBorder="1" applyAlignment="1">
      <alignment horizontal="center" vertical="top"/>
    </xf>
    <xf numFmtId="0" fontId="0" fillId="0" borderId="0" xfId="0" applyNumberFormat="1"/>
    <xf numFmtId="0" fontId="1" fillId="2" borderId="1" xfId="0" applyNumberFormat="1" applyFont="1" applyFill="1" applyBorder="1" applyAlignment="1">
      <alignment horizontal="center" vertical="top"/>
    </xf>
    <xf numFmtId="0" fontId="2" fillId="2" borderId="1" xfId="0" applyNumberFormat="1" applyFont="1" applyFill="1" applyBorder="1" applyAlignment="1">
      <alignment horizontal="center" vertical="top"/>
    </xf>
    <xf numFmtId="49" fontId="1" fillId="2" borderId="1" xfId="0" applyNumberFormat="1" applyFont="1" applyFill="1" applyBorder="1" applyAlignment="1">
      <alignment horizontal="center" vertical="top"/>
    </xf>
    <xf numFmtId="165" fontId="0" fillId="0" borderId="0" xfId="0" applyNumberFormat="1"/>
    <xf numFmtId="165" fontId="1" fillId="2" borderId="1" xfId="0" applyNumberFormat="1" applyFont="1" applyFill="1" applyBorder="1" applyAlignment="1">
      <alignment horizontal="center" vertical="top"/>
    </xf>
    <xf numFmtId="166" fontId="1" fillId="0" borderId="1" xfId="0" applyNumberFormat="1" applyFont="1" applyBorder="1" applyAlignment="1">
      <alignment horizontal="center" vertical="top"/>
    </xf>
    <xf numFmtId="166" fontId="0" fillId="0" borderId="0" xfId="0" applyNumberFormat="1"/>
    <xf numFmtId="166" fontId="2" fillId="2" borderId="1" xfId="0" applyNumberFormat="1" applyFont="1" applyFill="1" applyBorder="1" applyAlignment="1">
      <alignment horizontal="center" vertical="top"/>
    </xf>
    <xf numFmtId="1" fontId="2" fillId="2" borderId="1" xfId="0" applyNumberFormat="1" applyFont="1" applyFill="1" applyBorder="1" applyAlignment="1">
      <alignment horizontal="center" vertical="top"/>
    </xf>
    <xf numFmtId="49" fontId="1" fillId="0" borderId="0" xfId="0" applyNumberFormat="1" applyFont="1" applyBorder="1" applyAlignment="1">
      <alignment horizontal="center" vertical="top"/>
    </xf>
    <xf numFmtId="49" fontId="3" fillId="3" borderId="0" xfId="0" applyNumberFormat="1" applyFont="1" applyFill="1" applyAlignment="1">
      <alignment vertical="center"/>
    </xf>
    <xf numFmtId="165" fontId="3" fillId="3" borderId="0" xfId="0" applyNumberFormat="1" applyFont="1" applyFill="1" applyAlignment="1">
      <alignment vertical="center"/>
    </xf>
    <xf numFmtId="1" fontId="3" fillId="3" borderId="0" xfId="0" applyNumberFormat="1" applyFont="1" applyFill="1" applyAlignment="1">
      <alignment vertical="center"/>
    </xf>
    <xf numFmtId="0" fontId="3" fillId="3" borderId="0" xfId="0" applyFont="1" applyFill="1" applyAlignment="1">
      <alignment vertical="center"/>
    </xf>
    <xf numFmtId="0" fontId="2" fillId="0" borderId="1" xfId="0" applyFont="1" applyBorder="1" applyAlignment="1">
      <alignment horizontal="center" vertical="top"/>
    </xf>
    <xf numFmtId="10" fontId="0" fillId="0" borderId="0" xfId="0" applyNumberFormat="1"/>
    <xf numFmtId="10" fontId="2" fillId="2" borderId="0" xfId="0" applyNumberFormat="1" applyFont="1" applyFill="1" applyBorder="1" applyAlignment="1">
      <alignment horizontal="center" vertical="top"/>
    </xf>
    <xf numFmtId="167" fontId="0" fillId="0" borderId="0" xfId="0" applyNumberFormat="1"/>
    <xf numFmtId="166" fontId="3" fillId="3" borderId="0" xfId="0" applyNumberFormat="1" applyFont="1" applyFill="1" applyAlignment="1">
      <alignment vertical="center"/>
    </xf>
    <xf numFmtId="168" fontId="0" fillId="0" borderId="0" xfId="0" applyNumberFormat="1"/>
    <xf numFmtId="169" fontId="0" fillId="0" borderId="0" xfId="0" applyNumberFormat="1"/>
    <xf numFmtId="9" fontId="5" fillId="3" borderId="0" xfId="0" applyNumberFormat="1" applyFont="1" applyFill="1" applyAlignment="1">
      <alignment horizontal="left" vertical="center" wrapText="1" indent="1"/>
    </xf>
    <xf numFmtId="9" fontId="0" fillId="0" borderId="0" xfId="0" applyNumberFormat="1"/>
    <xf numFmtId="167" fontId="2" fillId="2" borderId="0" xfId="0" applyNumberFormat="1" applyFont="1" applyFill="1" applyBorder="1" applyAlignment="1">
      <alignment horizontal="center" vertical="top"/>
    </xf>
    <xf numFmtId="49" fontId="2" fillId="2" borderId="0" xfId="0" applyNumberFormat="1" applyFont="1" applyFill="1" applyBorder="1" applyAlignment="1">
      <alignment horizontal="center" vertical="top"/>
    </xf>
    <xf numFmtId="166" fontId="5" fillId="3" borderId="0" xfId="0" applyNumberFormat="1" applyFont="1" applyFill="1" applyAlignment="1">
      <alignment horizontal="left" vertical="center" wrapText="1" indent="1"/>
    </xf>
    <xf numFmtId="1" fontId="4"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42" fontId="0" fillId="0" borderId="0" xfId="0" applyNumberFormat="1"/>
    <xf numFmtId="4" fontId="0" fillId="0" borderId="0" xfId="0" applyNumberFormat="1"/>
    <xf numFmtId="0" fontId="6" fillId="0" borderId="0" xfId="0" applyFont="1" applyAlignment="1"/>
    <xf numFmtId="0" fontId="6" fillId="0" borderId="0" xfId="0" applyNumberFormat="1" applyFont="1"/>
    <xf numFmtId="42" fontId="6" fillId="0" borderId="0" xfId="0" applyNumberFormat="1" applyFont="1"/>
    <xf numFmtId="0" fontId="0" fillId="0" borderId="0" xfId="0" applyAlignment="1">
      <alignment horizontal="center"/>
    </xf>
    <xf numFmtId="0" fontId="6" fillId="0" borderId="0" xfId="0" applyFont="1" applyAlignment="1">
      <alignment horizontal="center"/>
    </xf>
    <xf numFmtId="0" fontId="6" fillId="0" borderId="0" xfId="0" applyFont="1" applyAlignment="1">
      <alignment horizontal="center" vertical="center"/>
    </xf>
    <xf numFmtId="0" fontId="7" fillId="0" borderId="1" xfId="0" applyFont="1" applyBorder="1" applyAlignment="1">
      <alignment horizontal="left" vertical="top"/>
    </xf>
    <xf numFmtId="1" fontId="7" fillId="0" borderId="1" xfId="0" applyNumberFormat="1" applyFont="1" applyFill="1" applyBorder="1" applyAlignment="1">
      <alignment horizontal="left" vertical="top"/>
    </xf>
    <xf numFmtId="0" fontId="0" fillId="0" borderId="0" xfId="0" applyAlignment="1">
      <alignment horizontal="center" vertical="center"/>
    </xf>
    <xf numFmtId="0" fontId="0" fillId="3" borderId="0" xfId="0" applyFill="1"/>
    <xf numFmtId="10" fontId="0" fillId="3" borderId="0" xfId="0" applyNumberFormat="1" applyFill="1"/>
    <xf numFmtId="0" fontId="6" fillId="0" borderId="0" xfId="0" applyFont="1" applyAlignment="1">
      <alignment vertical="top"/>
    </xf>
    <xf numFmtId="0" fontId="0" fillId="4" borderId="0" xfId="0" applyFill="1"/>
    <xf numFmtId="10" fontId="0" fillId="0" borderId="0" xfId="0" applyNumberFormat="1" applyFill="1"/>
  </cellXfs>
  <cellStyles count="1">
    <cellStyle name="Normal" xfId="0" builtinId="0"/>
  </cellStyles>
  <dxfs count="31">
    <dxf>
      <fill>
        <patternFill patternType="solid">
          <bgColor theme="8" tint="-0.249977111117893"/>
        </patternFill>
      </fill>
    </dxf>
    <dxf>
      <fill>
        <patternFill patternType="solid">
          <bgColor theme="8" tint="-0.249977111117893"/>
        </patternFill>
      </fill>
    </dxf>
    <dxf>
      <alignment horizontal="center"/>
    </dxf>
    <dxf>
      <alignment vertical="center"/>
    </dxf>
    <dxf>
      <numFmt numFmtId="32" formatCode="_-&quot;₦&quot;* #,##0_-;\-&quot;₦&quot;* #,##0_-;_-&quot;₦&quot;* &quot;-&quot;_-;_-@_-"/>
    </dxf>
    <dxf>
      <font>
        <b/>
      </font>
    </dxf>
    <dxf>
      <numFmt numFmtId="1" formatCode="0"/>
    </dxf>
    <dxf>
      <font>
        <b/>
      </font>
    </dxf>
    <dxf>
      <numFmt numFmtId="32" formatCode="_-&quot;₦&quot;* #,##0_-;\-&quot;₦&quot;* #,##0_-;_-&quot;₦&quot;* &quot;-&quot;_-;_-@_-"/>
    </dxf>
    <dxf>
      <numFmt numFmtId="1" formatCode="0"/>
    </dxf>
    <dxf>
      <numFmt numFmtId="169" formatCode="[$₦-470]\ #,##0.0"/>
    </dxf>
    <dxf>
      <numFmt numFmtId="169" formatCode="[$₦-470]\ #,##0.0"/>
    </dxf>
    <dxf>
      <font>
        <b/>
      </font>
    </dxf>
    <dxf>
      <numFmt numFmtId="32" formatCode="_-&quot;₦&quot;* #,##0_-;\-&quot;₦&quot;* #,##0_-;_-&quot;₦&quot;* &quot;-&quot;_-;_-@_-"/>
    </dxf>
    <dxf>
      <numFmt numFmtId="1" formatCode="0"/>
    </dxf>
    <dxf>
      <font>
        <b/>
      </font>
    </dxf>
    <dxf>
      <numFmt numFmtId="32" formatCode="_-&quot;₦&quot;* #,##0_-;\-&quot;₦&quot;* #,##0_-;_-&quot;₦&quot;* &quot;-&quot;_-;_-@_-"/>
    </dxf>
    <dxf>
      <numFmt numFmtId="166" formatCode="[$₦-470]\ #,##0"/>
    </dxf>
    <dxf>
      <numFmt numFmtId="13" formatCode="0%"/>
    </dxf>
    <dxf>
      <numFmt numFmtId="30" formatCode="@"/>
    </dxf>
    <dxf>
      <numFmt numFmtId="1" formatCode="0"/>
    </dxf>
    <dxf>
      <numFmt numFmtId="30" formatCode="@"/>
    </dxf>
    <dxf>
      <numFmt numFmtId="1" formatCode="0"/>
    </dxf>
    <dxf>
      <numFmt numFmtId="1" formatCode="0"/>
    </dxf>
    <dxf>
      <numFmt numFmtId="1" formatCode="0"/>
    </dxf>
    <dxf>
      <numFmt numFmtId="166" formatCode="[$₦-470]\ #,##0"/>
    </dxf>
    <dxf>
      <numFmt numFmtId="165" formatCode="dd/mm/yyyy;@"/>
    </dxf>
    <dxf>
      <numFmt numFmtId="30" formatCode="@"/>
    </dxf>
    <dxf>
      <numFmt numFmtId="30" formatCode="@"/>
    </dxf>
    <dxf>
      <numFmt numFmtId="30" formatCode="@"/>
    </dxf>
    <dxf>
      <numFmt numFmtId="30" formatCode="@"/>
    </dxf>
  </dxfs>
  <tableStyles count="0" defaultTableStyle="TableStyleMedium9" defaultPivotStyle="PivotStyleLight16"/>
  <colors>
    <mruColors>
      <color rgb="FF31859C"/>
      <color rgb="FFFFFF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 Erhaye Joy.xlsx]Analysis !PivotTable3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t>HEAD</a:t>
            </a:r>
            <a:r>
              <a:rPr lang="en-GB" sz="1400" b="1" baseline="0"/>
              <a:t> COUNT AND AVERAGE SALARY BY DEPARTMENT</a:t>
            </a:r>
            <a:endParaRPr lang="en-GB"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sp3d/>
        </c:spPr>
        <c:dLbl>
          <c:idx val="0"/>
          <c:layout>
            <c:manualLayout>
              <c:x val="1.669600773587512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sp3d/>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a:sp3d/>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a:sp3d/>
        </c:spPr>
        <c:dLbl>
          <c:idx val="0"/>
          <c:layout>
            <c:manualLayout>
              <c:x val="5.5555555555556061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a:sp3d/>
        </c:spPr>
        <c:dLbl>
          <c:idx val="0"/>
          <c:layout>
            <c:manualLayout>
              <c:x val="2.7777777777777267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a:sp3d/>
        </c:spPr>
        <c:dLbl>
          <c:idx val="0"/>
          <c:layout>
            <c:manualLayout>
              <c:x val="5.555555555555555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schemeClr>
          </a:solidFill>
          <a:ln>
            <a:noFill/>
          </a:ln>
          <a:effectLst/>
          <a:sp3d/>
        </c:spPr>
        <c:dLbl>
          <c:idx val="0"/>
          <c:layout>
            <c:manualLayout>
              <c:x val="2.777777777777752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60000"/>
              <a:lumOff val="40000"/>
            </a:schemeClr>
          </a:solidFill>
          <a:ln>
            <a:noFill/>
          </a:ln>
          <a:effectLst/>
          <a:sp3d/>
        </c:spPr>
        <c:dLbl>
          <c:idx val="0"/>
          <c:layout>
            <c:manualLayout>
              <c:x val="2.777777777777752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a:noFill/>
          </a:ln>
          <a:effectLst/>
          <a:sp3d/>
        </c:spPr>
        <c:dLbl>
          <c:idx val="0"/>
          <c:layout>
            <c:manualLayout>
              <c:x val="5.555555555555555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60000"/>
              <a:lumOff val="40000"/>
            </a:schemeClr>
          </a:solidFill>
          <a:ln>
            <a:noFill/>
          </a:ln>
          <a:effectLst/>
          <a:sp3d/>
        </c:spPr>
        <c:dLbl>
          <c:idx val="0"/>
          <c:layout>
            <c:manualLayout>
              <c:x val="2.7777777777777267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60000"/>
              <a:lumOff val="40000"/>
            </a:schemeClr>
          </a:solidFill>
          <a:ln>
            <a:noFill/>
          </a:ln>
          <a:effectLst/>
          <a:sp3d/>
        </c:spPr>
        <c:dLbl>
          <c:idx val="0"/>
          <c:layout>
            <c:manualLayout>
              <c:x val="5.5555555555556061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60000"/>
              <a:lumOff val="40000"/>
            </a:schemeClr>
          </a:solidFill>
          <a:ln>
            <a:noFill/>
          </a:ln>
          <a:effectLst/>
          <a:sp3d/>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a:sp3d/>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50000"/>
            </a:schemeClr>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50000"/>
            </a:schemeClr>
          </a:solidFill>
          <a:ln>
            <a:noFill/>
          </a:ln>
          <a:effectLst/>
          <a:sp3d/>
        </c:spPr>
        <c:dLbl>
          <c:idx val="0"/>
          <c:layout>
            <c:manualLayout>
              <c:x val="1.669600773587512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60000"/>
              <a:lumOff val="40000"/>
            </a:schemeClr>
          </a:solidFill>
          <a:ln>
            <a:noFill/>
          </a:ln>
          <a:effectLst/>
          <a:sp3d/>
        </c:spPr>
        <c:dLbl>
          <c:idx val="0"/>
          <c:layout>
            <c:manualLayout>
              <c:x val="-1.388888888888888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lumMod val="60000"/>
              <a:lumOff val="40000"/>
            </a:schemeClr>
          </a:solidFill>
          <a:ln>
            <a:noFill/>
          </a:ln>
          <a:effectLst/>
          <a:sp3d/>
        </c:spPr>
        <c:dLbl>
          <c:idx val="0"/>
          <c:layout>
            <c:manualLayout>
              <c:x val="2.7777777777777523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60000"/>
              <a:lumOff val="40000"/>
            </a:schemeClr>
          </a:solidFill>
          <a:ln>
            <a:noFill/>
          </a:ln>
          <a:effectLst/>
          <a:sp3d/>
        </c:spPr>
        <c:dLbl>
          <c:idx val="0"/>
          <c:layout>
            <c:manualLayout>
              <c:x val="5.5555555555555558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60000"/>
              <a:lumOff val="40000"/>
            </a:schemeClr>
          </a:solidFill>
          <a:ln>
            <a:noFill/>
          </a:ln>
          <a:effectLst/>
          <a:sp3d/>
        </c:spPr>
        <c:dLbl>
          <c:idx val="0"/>
          <c:layout>
            <c:manualLayout>
              <c:x val="2.7777777777777267E-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60000"/>
              <a:lumOff val="40000"/>
            </a:schemeClr>
          </a:solidFill>
          <a:ln>
            <a:noFill/>
          </a:ln>
          <a:effectLst/>
          <a:sp3d/>
        </c:spPr>
        <c:dLbl>
          <c:idx val="0"/>
          <c:layout>
            <c:manualLayout>
              <c:x val="5.5555555555556061E-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60000"/>
              <a:lumOff val="40000"/>
            </a:schemeClr>
          </a:solidFill>
          <a:ln>
            <a:noFill/>
          </a:ln>
          <a:effectLst/>
          <a:sp3d/>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a:sp3d/>
        </c:spPr>
        <c:dLbl>
          <c:idx val="0"/>
          <c:layout>
            <c:manualLayout>
              <c:x val="1.388888888888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a:sp3d/>
        </c:spPr>
        <c:dLbl>
          <c:idx val="0"/>
          <c:layout>
            <c:manualLayout>
              <c:x val="2.222222222222222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a:sp3d/>
        </c:spPr>
        <c:dLbl>
          <c:idx val="0"/>
          <c:layout>
            <c:manualLayout>
              <c:x val="1.9444444444444445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a:sp3d/>
        </c:spPr>
        <c:dLbl>
          <c:idx val="0"/>
          <c:layout>
            <c:manualLayout>
              <c:x val="1.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50000"/>
            </a:schemeClr>
          </a:solidFill>
          <a:ln>
            <a:noFill/>
          </a:ln>
          <a:effectLst/>
          <a:sp3d/>
        </c:spPr>
        <c:dLbl>
          <c:idx val="0"/>
          <c:layout>
            <c:manualLayout>
              <c:x val="1.669600773587512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368421052631577E-2"/>
          <c:y val="0.22421296296296298"/>
          <c:w val="0.69852101118939081"/>
          <c:h val="0.46557852143482065"/>
        </c:manualLayout>
      </c:layout>
      <c:bar3DChart>
        <c:barDir val="col"/>
        <c:grouping val="clustered"/>
        <c:varyColors val="0"/>
        <c:ser>
          <c:idx val="0"/>
          <c:order val="0"/>
          <c:tx>
            <c:strRef>
              <c:f>'Analysis '!$B$7</c:f>
              <c:strCache>
                <c:ptCount val="1"/>
                <c:pt idx="0">
                  <c:v>Average of Salary</c:v>
                </c:pt>
              </c:strCache>
            </c:strRef>
          </c:tx>
          <c:spPr>
            <a:solidFill>
              <a:schemeClr val="accent5">
                <a:lumMod val="60000"/>
                <a:lumOff val="40000"/>
              </a:schemeClr>
            </a:solidFill>
            <a:ln>
              <a:noFill/>
            </a:ln>
            <a:effectLst/>
            <a:sp3d/>
          </c:spPr>
          <c:invertIfNegative val="0"/>
          <c:dPt>
            <c:idx val="0"/>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0-7760-47E6-96B2-F03076D69B94}"/>
              </c:ext>
            </c:extLst>
          </c:dPt>
          <c:dPt>
            <c:idx val="1"/>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1-7760-47E6-96B2-F03076D69B94}"/>
              </c:ext>
            </c:extLst>
          </c:dPt>
          <c:dPt>
            <c:idx val="2"/>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2-7760-47E6-96B2-F03076D69B94}"/>
              </c:ext>
            </c:extLst>
          </c:dPt>
          <c:dPt>
            <c:idx val="3"/>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3-7760-47E6-96B2-F03076D69B94}"/>
              </c:ext>
            </c:extLst>
          </c:dPt>
          <c:dPt>
            <c:idx val="4"/>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4-7760-47E6-96B2-F03076D69B94}"/>
              </c:ext>
            </c:extLst>
          </c:dPt>
          <c:dPt>
            <c:idx val="5"/>
            <c:invertIfNegative val="0"/>
            <c:bubble3D val="0"/>
            <c:spPr>
              <a:solidFill>
                <a:schemeClr val="accent5">
                  <a:lumMod val="60000"/>
                  <a:lumOff val="40000"/>
                </a:schemeClr>
              </a:solidFill>
              <a:ln>
                <a:noFill/>
              </a:ln>
              <a:effectLst/>
              <a:sp3d/>
            </c:spPr>
            <c:extLst>
              <c:ext xmlns:c16="http://schemas.microsoft.com/office/drawing/2014/chart" uri="{C3380CC4-5D6E-409C-BE32-E72D297353CC}">
                <c16:uniqueId val="{00000005-7760-47E6-96B2-F03076D69B94}"/>
              </c:ext>
            </c:extLst>
          </c:dPt>
          <c:dLbls>
            <c:dLbl>
              <c:idx val="0"/>
              <c:layout>
                <c:manualLayout>
                  <c:x val="-1.388888888888888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60-47E6-96B2-F03076D69B94}"/>
                </c:ext>
              </c:extLst>
            </c:dLbl>
            <c:dLbl>
              <c:idx val="1"/>
              <c:layout>
                <c:manualLayout>
                  <c:x val="2.7777777777777523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60-47E6-96B2-F03076D69B94}"/>
                </c:ext>
              </c:extLst>
            </c:dLbl>
            <c:dLbl>
              <c:idx val="2"/>
              <c:layout>
                <c:manualLayout>
                  <c:x val="5.5555555555555558E-3"/>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60-47E6-96B2-F03076D69B94}"/>
                </c:ext>
              </c:extLst>
            </c:dLbl>
            <c:dLbl>
              <c:idx val="3"/>
              <c:layout>
                <c:manualLayout>
                  <c:x val="2.7777777777777267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60-47E6-96B2-F03076D69B94}"/>
                </c:ext>
              </c:extLst>
            </c:dLbl>
            <c:dLbl>
              <c:idx val="4"/>
              <c:layout>
                <c:manualLayout>
                  <c:x val="5.5555555555556061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60-47E6-96B2-F03076D69B94}"/>
                </c:ext>
              </c:extLst>
            </c:dLbl>
            <c:dLbl>
              <c:idx val="5"/>
              <c:layout>
                <c:manualLayout>
                  <c:x val="3.88888888888888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60-47E6-96B2-F03076D69B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'!$A$8:$A$13</c:f>
              <c:strCache>
                <c:ptCount val="6"/>
                <c:pt idx="0">
                  <c:v>Finance</c:v>
                </c:pt>
                <c:pt idx="1">
                  <c:v>Human Resources</c:v>
                </c:pt>
                <c:pt idx="2">
                  <c:v>Information Technology</c:v>
                </c:pt>
                <c:pt idx="3">
                  <c:v>Marketing</c:v>
                </c:pt>
                <c:pt idx="4">
                  <c:v>Operations</c:v>
                </c:pt>
                <c:pt idx="5">
                  <c:v>Sales</c:v>
                </c:pt>
              </c:strCache>
            </c:strRef>
          </c:cat>
          <c:val>
            <c:numRef>
              <c:f>'Analysis '!$B$8:$B$13</c:f>
              <c:numCache>
                <c:formatCode>[$₦-470]\ #,##0.0</c:formatCode>
                <c:ptCount val="6"/>
                <c:pt idx="0">
                  <c:v>87173.576018099542</c:v>
                </c:pt>
                <c:pt idx="1">
                  <c:v>87534.466515837106</c:v>
                </c:pt>
                <c:pt idx="2">
                  <c:v>80377.695701357457</c:v>
                </c:pt>
                <c:pt idx="3">
                  <c:v>85407.94372469635</c:v>
                </c:pt>
                <c:pt idx="4">
                  <c:v>76219.327564102554</c:v>
                </c:pt>
                <c:pt idx="5">
                  <c:v>85589.776392572923</c:v>
                </c:pt>
              </c:numCache>
            </c:numRef>
          </c:val>
          <c:extLst>
            <c:ext xmlns:c16="http://schemas.microsoft.com/office/drawing/2014/chart" uri="{C3380CC4-5D6E-409C-BE32-E72D297353CC}">
              <c16:uniqueId val="{00000006-7760-47E6-96B2-F03076D69B94}"/>
            </c:ext>
          </c:extLst>
        </c:ser>
        <c:ser>
          <c:idx val="1"/>
          <c:order val="1"/>
          <c:tx>
            <c:strRef>
              <c:f>'Analysis '!$C$7</c:f>
              <c:strCache>
                <c:ptCount val="1"/>
                <c:pt idx="0">
                  <c:v>Total Head count</c:v>
                </c:pt>
              </c:strCache>
            </c:strRef>
          </c:tx>
          <c:spPr>
            <a:solidFill>
              <a:schemeClr val="accent5">
                <a:lumMod val="50000"/>
              </a:schemeClr>
            </a:solidFill>
            <a:ln>
              <a:noFill/>
            </a:ln>
            <a:effectLst/>
            <a:sp3d/>
          </c:spPr>
          <c:invertIfNegative val="0"/>
          <c:dPt>
            <c:idx val="0"/>
            <c:invertIfNegative val="0"/>
            <c:bubble3D val="0"/>
            <c:extLst>
              <c:ext xmlns:c16="http://schemas.microsoft.com/office/drawing/2014/chart" uri="{C3380CC4-5D6E-409C-BE32-E72D297353CC}">
                <c16:uniqueId val="{00000007-7760-47E6-96B2-F03076D69B94}"/>
              </c:ext>
            </c:extLst>
          </c:dPt>
          <c:dPt>
            <c:idx val="1"/>
            <c:invertIfNegative val="0"/>
            <c:bubble3D val="0"/>
            <c:extLst>
              <c:ext xmlns:c16="http://schemas.microsoft.com/office/drawing/2014/chart" uri="{C3380CC4-5D6E-409C-BE32-E72D297353CC}">
                <c16:uniqueId val="{00000008-7760-47E6-96B2-F03076D69B94}"/>
              </c:ext>
            </c:extLst>
          </c:dPt>
          <c:dPt>
            <c:idx val="2"/>
            <c:invertIfNegative val="0"/>
            <c:bubble3D val="0"/>
            <c:extLst>
              <c:ext xmlns:c16="http://schemas.microsoft.com/office/drawing/2014/chart" uri="{C3380CC4-5D6E-409C-BE32-E72D297353CC}">
                <c16:uniqueId val="{00000009-7760-47E6-96B2-F03076D69B94}"/>
              </c:ext>
            </c:extLst>
          </c:dPt>
          <c:dPt>
            <c:idx val="3"/>
            <c:invertIfNegative val="0"/>
            <c:bubble3D val="0"/>
            <c:extLst>
              <c:ext xmlns:c16="http://schemas.microsoft.com/office/drawing/2014/chart" uri="{C3380CC4-5D6E-409C-BE32-E72D297353CC}">
                <c16:uniqueId val="{0000000A-7760-47E6-96B2-F03076D69B94}"/>
              </c:ext>
            </c:extLst>
          </c:dPt>
          <c:dPt>
            <c:idx val="4"/>
            <c:invertIfNegative val="0"/>
            <c:bubble3D val="0"/>
            <c:extLst>
              <c:ext xmlns:c16="http://schemas.microsoft.com/office/drawing/2014/chart" uri="{C3380CC4-5D6E-409C-BE32-E72D297353CC}">
                <c16:uniqueId val="{0000000B-7760-47E6-96B2-F03076D69B94}"/>
              </c:ext>
            </c:extLst>
          </c:dPt>
          <c:dPt>
            <c:idx val="5"/>
            <c:invertIfNegative val="0"/>
            <c:bubble3D val="0"/>
            <c:extLst>
              <c:ext xmlns:c16="http://schemas.microsoft.com/office/drawing/2014/chart" uri="{C3380CC4-5D6E-409C-BE32-E72D297353CC}">
                <c16:uniqueId val="{0000000C-7760-47E6-96B2-F03076D69B94}"/>
              </c:ext>
            </c:extLst>
          </c:dPt>
          <c:dLbls>
            <c:dLbl>
              <c:idx val="0"/>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60-47E6-96B2-F03076D69B94}"/>
                </c:ext>
              </c:extLst>
            </c:dLbl>
            <c:dLbl>
              <c:idx val="1"/>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60-47E6-96B2-F03076D69B94}"/>
                </c:ext>
              </c:extLst>
            </c:dLbl>
            <c:dLbl>
              <c:idx val="2"/>
              <c:layout>
                <c:manualLayout>
                  <c:x val="2.222222222222222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60-47E6-96B2-F03076D69B94}"/>
                </c:ext>
              </c:extLst>
            </c:dLbl>
            <c:dLbl>
              <c:idx val="3"/>
              <c:layout>
                <c:manualLayout>
                  <c:x val="1.9444444444444445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60-47E6-96B2-F03076D69B94}"/>
                </c:ext>
              </c:extLst>
            </c:dLbl>
            <c:dLbl>
              <c:idx val="4"/>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60-47E6-96B2-F03076D69B94}"/>
                </c:ext>
              </c:extLst>
            </c:dLbl>
            <c:dLbl>
              <c:idx val="5"/>
              <c:layout>
                <c:manualLayout>
                  <c:x val="1.669600773587512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60-47E6-96B2-F03076D69B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'!$A$8:$A$13</c:f>
              <c:strCache>
                <c:ptCount val="6"/>
                <c:pt idx="0">
                  <c:v>Finance</c:v>
                </c:pt>
                <c:pt idx="1">
                  <c:v>Human Resources</c:v>
                </c:pt>
                <c:pt idx="2">
                  <c:v>Information Technology</c:v>
                </c:pt>
                <c:pt idx="3">
                  <c:v>Marketing</c:v>
                </c:pt>
                <c:pt idx="4">
                  <c:v>Operations</c:v>
                </c:pt>
                <c:pt idx="5">
                  <c:v>Sales</c:v>
                </c:pt>
              </c:strCache>
            </c:strRef>
          </c:cat>
          <c:val>
            <c:numRef>
              <c:f>'Analysis '!$C$8:$C$13</c:f>
              <c:numCache>
                <c:formatCode>0</c:formatCode>
                <c:ptCount val="6"/>
                <c:pt idx="0">
                  <c:v>17</c:v>
                </c:pt>
                <c:pt idx="1">
                  <c:v>17</c:v>
                </c:pt>
                <c:pt idx="2">
                  <c:v>34</c:v>
                </c:pt>
                <c:pt idx="3">
                  <c:v>19</c:v>
                </c:pt>
                <c:pt idx="4">
                  <c:v>24</c:v>
                </c:pt>
                <c:pt idx="5">
                  <c:v>29</c:v>
                </c:pt>
              </c:numCache>
            </c:numRef>
          </c:val>
          <c:extLst>
            <c:ext xmlns:c16="http://schemas.microsoft.com/office/drawing/2014/chart" uri="{C3380CC4-5D6E-409C-BE32-E72D297353CC}">
              <c16:uniqueId val="{0000000D-7760-47E6-96B2-F03076D69B94}"/>
            </c:ext>
          </c:extLst>
        </c:ser>
        <c:dLbls>
          <c:showLegendKey val="0"/>
          <c:showVal val="1"/>
          <c:showCatName val="0"/>
          <c:showSerName val="0"/>
          <c:showPercent val="0"/>
          <c:showBubbleSize val="0"/>
        </c:dLbls>
        <c:gapWidth val="150"/>
        <c:shape val="box"/>
        <c:axId val="436796703"/>
        <c:axId val="436797119"/>
        <c:axId val="0"/>
      </c:bar3DChart>
      <c:catAx>
        <c:axId val="436796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36797119"/>
        <c:crosses val="autoZero"/>
        <c:auto val="1"/>
        <c:lblAlgn val="ctr"/>
        <c:lblOffset val="100"/>
        <c:noMultiLvlLbl val="0"/>
      </c:catAx>
      <c:valAx>
        <c:axId val="436797119"/>
        <c:scaling>
          <c:orientation val="minMax"/>
        </c:scaling>
        <c:delete val="1"/>
        <c:axPos val="l"/>
        <c:numFmt formatCode="[$₦-470]\ #,##0.0" sourceLinked="1"/>
        <c:majorTickMark val="none"/>
        <c:minorTickMark val="none"/>
        <c:tickLblPos val="nextTo"/>
        <c:crossAx val="4367967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 Erhaye Joy.xlsx]Analysis !PivotTable13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5555555555555558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071845280908671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7785665049256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104114878421178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5555555555555558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3636362117958428E-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1.1919207541894355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3333333333333332E-3"/>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6.3636362117958428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5555375487364817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5555375487364817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0"/>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5555555555555558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0"/>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6.3636362117958428E-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1.1919207541894355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8.3333333333333332E-3"/>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5.5555555555555558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0"/>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1.104114878421178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2.7071845280908671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2.777785665049256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layout>
            <c:manualLayout>
              <c:x val="6.3636362117958428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dLbl>
          <c:idx val="0"/>
          <c:layout>
            <c:manualLayout>
              <c:x val="-1.5555375487364817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dLbl>
          <c:idx val="0"/>
          <c:layout>
            <c:manualLayout>
              <c:x val="-1.5555375487364817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c:spPr>
        <c:dLbl>
          <c:idx val="0"/>
          <c:layout>
            <c:manualLayout>
              <c:x val="0"/>
              <c:y val="-0.185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c:spPr>
        <c:dLbl>
          <c:idx val="0"/>
          <c:layout>
            <c:manualLayout>
              <c:x val="5.5555555555555558E-3"/>
              <c:y val="-0.152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c:spPr>
        <c:dLbl>
          <c:idx val="0"/>
          <c:layout>
            <c:manualLayout>
              <c:x val="0"/>
              <c:y val="-0.134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c:spPr>
        <c:dLbl>
          <c:idx val="0"/>
          <c:layout>
            <c:manualLayout>
              <c:x val="6.3636362117958428E-3"/>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c:spPr>
        <c:dLbl>
          <c:idx val="0"/>
          <c:layout>
            <c:manualLayout>
              <c:x val="1.1919207541894355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c:spPr>
        <c:dLbl>
          <c:idx val="0"/>
          <c:layout>
            <c:manualLayout>
              <c:x val="8.3333333333333332E-3"/>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50000"/>
            </a:schemeClr>
          </a:solidFill>
          <a:ln>
            <a:noFill/>
          </a:ln>
          <a:effectLst/>
        </c:spPr>
        <c:dLbl>
          <c:idx val="0"/>
          <c:layout>
            <c:manualLayout>
              <c:x val="5.5555555555555558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c:spPr>
        <c:dLbl>
          <c:idx val="0"/>
          <c:layout>
            <c:manualLayout>
              <c:x val="0"/>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50000"/>
            </a:schemeClr>
          </a:solidFill>
          <a:ln>
            <a:noFill/>
          </a:ln>
          <a:effectLst/>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5">
              <a:lumMod val="50000"/>
            </a:schemeClr>
          </a:solidFill>
          <a:ln>
            <a:noFill/>
          </a:ln>
          <a:effectLst/>
        </c:spPr>
        <c:dLbl>
          <c:idx val="0"/>
          <c:layout>
            <c:manualLayout>
              <c:x val="-1.1041148784211789E-3"/>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5">
              <a:lumMod val="50000"/>
            </a:schemeClr>
          </a:solidFill>
          <a:ln>
            <a:noFill/>
          </a:ln>
          <a:effectLst/>
        </c:spPr>
        <c:dLbl>
          <c:idx val="0"/>
          <c:layout>
            <c:manualLayout>
              <c:x val="-2.7071845280908671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5">
              <a:lumMod val="50000"/>
            </a:schemeClr>
          </a:solidFill>
          <a:ln>
            <a:noFill/>
          </a:ln>
          <a:effectLst/>
        </c:spPr>
        <c:dLbl>
          <c:idx val="0"/>
          <c:layout>
            <c:manualLayout>
              <c:x val="2.7777856650492562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6.3636362117958428E-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5555375487364817E-16"/>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1.5555375487364817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6791447944006996"/>
          <c:w val="0.82248140857392826"/>
          <c:h val="0.30904746281714784"/>
        </c:manualLayout>
      </c:layout>
      <c:barChart>
        <c:barDir val="col"/>
        <c:grouping val="stacked"/>
        <c:varyColors val="0"/>
        <c:ser>
          <c:idx val="0"/>
          <c:order val="0"/>
          <c:tx>
            <c:strRef>
              <c:f>'Analysis '!$C$18</c:f>
              <c:strCache>
                <c:ptCount val="1"/>
                <c:pt idx="0">
                  <c:v>Total</c:v>
                </c:pt>
              </c:strCache>
            </c:strRef>
          </c:tx>
          <c:spPr>
            <a:solidFill>
              <a:schemeClr val="accent5">
                <a:lumMod val="50000"/>
              </a:schemeClr>
            </a:solidFill>
            <a:ln>
              <a:noFill/>
            </a:ln>
            <a:effectLst/>
          </c:spPr>
          <c:invertIfNegative val="0"/>
          <c:dLbls>
            <c:dLbl>
              <c:idx val="0"/>
              <c:layout>
                <c:manualLayout>
                  <c:x val="0"/>
                  <c:y val="-0.185185185185185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75-4450-88AE-5C1777B0997A}"/>
                </c:ext>
              </c:extLst>
            </c:dLbl>
            <c:dLbl>
              <c:idx val="1"/>
              <c:layout>
                <c:manualLayout>
                  <c:x val="5.5555555555555558E-3"/>
                  <c:y val="-0.152777777777777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75-4450-88AE-5C1777B0997A}"/>
                </c:ext>
              </c:extLst>
            </c:dLbl>
            <c:dLbl>
              <c:idx val="2"/>
              <c:layout>
                <c:manualLayout>
                  <c:x val="0"/>
                  <c:y val="-0.13425925925925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75-4450-88AE-5C1777B0997A}"/>
                </c:ext>
              </c:extLst>
            </c:dLbl>
            <c:dLbl>
              <c:idx val="3"/>
              <c:layout>
                <c:manualLayout>
                  <c:x val="6.3636362117958428E-3"/>
                  <c:y val="-0.106481481481481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75-4450-88AE-5C1777B0997A}"/>
                </c:ext>
              </c:extLst>
            </c:dLbl>
            <c:dLbl>
              <c:idx val="4"/>
              <c:layout>
                <c:manualLayout>
                  <c:x val="1.1919207541894355E-2"/>
                  <c:y val="-0.1435185185185185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75-4450-88AE-5C1777B0997A}"/>
                </c:ext>
              </c:extLst>
            </c:dLbl>
            <c:dLbl>
              <c:idx val="5"/>
              <c:layout>
                <c:manualLayout>
                  <c:x val="8.3333333333333332E-3"/>
                  <c:y val="-8.79629629629630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75-4450-88AE-5C1777B0997A}"/>
                </c:ext>
              </c:extLst>
            </c:dLbl>
            <c:dLbl>
              <c:idx val="6"/>
              <c:layout>
                <c:manualLayout>
                  <c:x val="5.5555555555555558E-3"/>
                  <c:y val="-7.40740740740741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75-4450-88AE-5C1777B0997A}"/>
                </c:ext>
              </c:extLst>
            </c:dLbl>
            <c:dLbl>
              <c:idx val="7"/>
              <c:layout>
                <c:manualLayout>
                  <c:x val="0"/>
                  <c:y val="-5.09259259259260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75-4450-88AE-5C1777B0997A}"/>
                </c:ext>
              </c:extLst>
            </c:dLbl>
            <c:dLbl>
              <c:idx val="8"/>
              <c:layout>
                <c:manualLayout>
                  <c:x val="0"/>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375-4450-88AE-5C1777B0997A}"/>
                </c:ext>
              </c:extLst>
            </c:dLbl>
            <c:dLbl>
              <c:idx val="9"/>
              <c:layout>
                <c:manualLayout>
                  <c:x val="-1.1041148784211789E-3"/>
                  <c:y val="-4.629629629629629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375-4450-88AE-5C1777B0997A}"/>
                </c:ext>
              </c:extLst>
            </c:dLbl>
            <c:dLbl>
              <c:idx val="10"/>
              <c:layout>
                <c:manualLayout>
                  <c:x val="-2.7071845280908671E-3"/>
                  <c:y val="-3.703703703703703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375-4450-88AE-5C1777B0997A}"/>
                </c:ext>
              </c:extLst>
            </c:dLbl>
            <c:dLbl>
              <c:idx val="11"/>
              <c:layout>
                <c:manualLayout>
                  <c:x val="2.7777856650492562E-3"/>
                  <c:y val="-6.481481481481481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375-4450-88AE-5C1777B0997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'Analysis '!$A$19:$B$32</c:f>
              <c:multiLvlStrCache>
                <c:ptCount val="12"/>
                <c:lvl>
                  <c:pt idx="0">
                    <c:v>Information Technology</c:v>
                  </c:pt>
                  <c:pt idx="1">
                    <c:v>Sales</c:v>
                  </c:pt>
                  <c:pt idx="2">
                    <c:v>Operations</c:v>
                  </c:pt>
                  <c:pt idx="3">
                    <c:v>Marketing</c:v>
                  </c:pt>
                  <c:pt idx="4">
                    <c:v>Human Resources</c:v>
                  </c:pt>
                  <c:pt idx="5">
                    <c:v>Finance</c:v>
                  </c:pt>
                  <c:pt idx="6">
                    <c:v>Operations</c:v>
                  </c:pt>
                  <c:pt idx="7">
                    <c:v>Information Technology</c:v>
                  </c:pt>
                  <c:pt idx="8">
                    <c:v>Sales</c:v>
                  </c:pt>
                  <c:pt idx="9">
                    <c:v>Finance</c:v>
                  </c:pt>
                  <c:pt idx="10">
                    <c:v>Marketing</c:v>
                  </c:pt>
                  <c:pt idx="11">
                    <c:v>Human Resources</c:v>
                  </c:pt>
                </c:lvl>
                <c:lvl>
                  <c:pt idx="0">
                    <c:v>Active</c:v>
                  </c:pt>
                  <c:pt idx="6">
                    <c:v>Left</c:v>
                  </c:pt>
                </c:lvl>
              </c:multiLvlStrCache>
            </c:multiLvlStrRef>
          </c:cat>
          <c:val>
            <c:numRef>
              <c:f>'Analysis '!$C$19:$C$32</c:f>
              <c:numCache>
                <c:formatCode>0.00%</c:formatCode>
                <c:ptCount val="12"/>
                <c:pt idx="0">
                  <c:v>0.2</c:v>
                </c:pt>
                <c:pt idx="1">
                  <c:v>0.17857142857142858</c:v>
                </c:pt>
                <c:pt idx="2">
                  <c:v>0.12857142857142856</c:v>
                </c:pt>
                <c:pt idx="3">
                  <c:v>0.11428571428571428</c:v>
                </c:pt>
                <c:pt idx="4">
                  <c:v>0.10714285714285714</c:v>
                </c:pt>
                <c:pt idx="5">
                  <c:v>0.1</c:v>
                </c:pt>
                <c:pt idx="6">
                  <c:v>4.2857142857142858E-2</c:v>
                </c:pt>
                <c:pt idx="7">
                  <c:v>4.2857142857142858E-2</c:v>
                </c:pt>
                <c:pt idx="8">
                  <c:v>2.8571428571428571E-2</c:v>
                </c:pt>
                <c:pt idx="9">
                  <c:v>2.1428571428571429E-2</c:v>
                </c:pt>
                <c:pt idx="10">
                  <c:v>2.1428571428571429E-2</c:v>
                </c:pt>
                <c:pt idx="11">
                  <c:v>1.4285714285714285E-2</c:v>
                </c:pt>
              </c:numCache>
            </c:numRef>
          </c:val>
          <c:extLst>
            <c:ext xmlns:c16="http://schemas.microsoft.com/office/drawing/2014/chart" uri="{C3380CC4-5D6E-409C-BE32-E72D297353CC}">
              <c16:uniqueId val="{00000010-3375-4450-88AE-5C1777B0997A}"/>
            </c:ext>
          </c:extLst>
        </c:ser>
        <c:dLbls>
          <c:dLblPos val="ctr"/>
          <c:showLegendKey val="0"/>
          <c:showVal val="1"/>
          <c:showCatName val="0"/>
          <c:showSerName val="0"/>
          <c:showPercent val="0"/>
          <c:showBubbleSize val="0"/>
        </c:dLbls>
        <c:gapWidth val="150"/>
        <c:overlap val="100"/>
        <c:axId val="807792096"/>
        <c:axId val="807801664"/>
      </c:barChart>
      <c:catAx>
        <c:axId val="8077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7801664"/>
        <c:crosses val="autoZero"/>
        <c:auto val="1"/>
        <c:lblAlgn val="ctr"/>
        <c:lblOffset val="100"/>
        <c:noMultiLvlLbl val="0"/>
      </c:catAx>
      <c:valAx>
        <c:axId val="8078016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7792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 Erhaye Joy.xlsx]Analysis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Average performance Score Employment status </a:t>
            </a:r>
            <a:r>
              <a:rPr lang="en-GB" sz="1400" b="0" i="0" u="none" strike="noStrike" baseline="0"/>
              <a:t> </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pivotFmt>
      <c:pivotFmt>
        <c:idx val="2"/>
        <c:spPr>
          <a:solidFill>
            <a:schemeClr val="accent5">
              <a:lumMod val="60000"/>
              <a:lumOff val="40000"/>
            </a:schemeClr>
          </a:solidFill>
          <a:ln w="19050">
            <a:solidFill>
              <a:schemeClr val="lt1"/>
            </a:solidFill>
          </a:ln>
          <a:effectLst/>
        </c:spPr>
      </c:pivotFmt>
      <c:pivotFmt>
        <c:idx val="3"/>
        <c:spPr>
          <a:solidFill>
            <a:schemeClr val="accent5">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pivotFmt>
      <c:pivotFmt>
        <c:idx val="6"/>
        <c:spPr>
          <a:solidFill>
            <a:schemeClr val="accent5">
              <a:lumMod val="75000"/>
            </a:schemeClr>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pivotFmt>
      <c:pivotFmt>
        <c:idx val="14"/>
        <c:spPr>
          <a:solidFill>
            <a:schemeClr val="accent5">
              <a:lumMod val="75000"/>
            </a:schemeClr>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w="19050">
            <a:solidFill>
              <a:schemeClr val="lt1"/>
            </a:solidFill>
          </a:ln>
          <a:effectLst/>
        </c:spPr>
      </c:pivotFmt>
      <c:pivotFmt>
        <c:idx val="18"/>
        <c:spPr>
          <a:solidFill>
            <a:schemeClr val="accent5">
              <a:lumMod val="75000"/>
            </a:schemeClr>
          </a:solidFill>
          <a:ln w="19050">
            <a:solidFill>
              <a:schemeClr val="lt1"/>
            </a:solidFill>
          </a:ln>
          <a:effectLst/>
        </c:spPr>
      </c:pivotFmt>
      <c:pivotFmt>
        <c:idx val="19"/>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'Analysis '!$F$7</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06F-4CF6-9B67-AE30168F1C1D}"/>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406F-4CF6-9B67-AE30168F1C1D}"/>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'!$E$8:$E$9</c:f>
              <c:strCache>
                <c:ptCount val="2"/>
                <c:pt idx="0">
                  <c:v>Active</c:v>
                </c:pt>
                <c:pt idx="1">
                  <c:v>Left</c:v>
                </c:pt>
              </c:strCache>
            </c:strRef>
          </c:cat>
          <c:val>
            <c:numRef>
              <c:f>'Analysis '!$F$8:$F$9</c:f>
              <c:numCache>
                <c:formatCode>0</c:formatCode>
                <c:ptCount val="2"/>
                <c:pt idx="0">
                  <c:v>67.677391937833818</c:v>
                </c:pt>
                <c:pt idx="1">
                  <c:v>67.12852112676056</c:v>
                </c:pt>
              </c:numCache>
            </c:numRef>
          </c:val>
          <c:extLst>
            <c:ext xmlns:c16="http://schemas.microsoft.com/office/drawing/2014/chart" uri="{C3380CC4-5D6E-409C-BE32-E72D297353CC}">
              <c16:uniqueId val="{00000006-406F-4CF6-9B67-AE30168F1C1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[HR_Capstone_Completed_ Erhaye Joy.xlsx]Analysis !PivotTable6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Performamnce Band By Payout Bonus</a:t>
            </a:r>
            <a:r>
              <a:rPr lang="en-GB"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dLbl>
          <c:idx val="0"/>
          <c:layout>
            <c:manualLayout>
              <c:x val="-3.1446533094009653E-2"/>
              <c:y val="-7.8817733990147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dLbl>
          <c:idx val="0"/>
          <c:layout>
            <c:manualLayout>
              <c:x val="-3.1446533094009653E-2"/>
              <c:y val="-7.8817733990147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dLbl>
          <c:idx val="0"/>
          <c:layout>
            <c:manualLayout>
              <c:x val="-3.1446533094009653E-2"/>
              <c:y val="-7.8817733990147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dLbl>
          <c:idx val="0"/>
          <c:layout>
            <c:manualLayout>
              <c:x val="-3.1446533094009653E-2"/>
              <c:y val="-7.8817733990147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layout>
            <c:manualLayout>
              <c:x val="-3.1446533094009653E-2"/>
              <c:y val="-7.88177339901477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64873239603514"/>
          <c:y val="0.24361247947454845"/>
          <c:w val="0.74435126760396486"/>
          <c:h val="0.68413793103448273"/>
        </c:manualLayout>
      </c:layout>
      <c:barChart>
        <c:barDir val="bar"/>
        <c:grouping val="clustered"/>
        <c:varyColors val="0"/>
        <c:ser>
          <c:idx val="0"/>
          <c:order val="0"/>
          <c:tx>
            <c:strRef>
              <c:f>'Analysis '!$F$19</c:f>
              <c:strCache>
                <c:ptCount val="1"/>
                <c:pt idx="0">
                  <c:v>Total</c:v>
                </c:pt>
              </c:strCache>
            </c:strRef>
          </c:tx>
          <c:spPr>
            <a:solidFill>
              <a:schemeClr val="accent5">
                <a:lumMod val="75000"/>
              </a:schemeClr>
            </a:solidFill>
            <a:ln>
              <a:noFill/>
            </a:ln>
            <a:effectLst/>
          </c:spPr>
          <c:invertIfNegative val="0"/>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1-5C57-4266-9AF2-998765986F22}"/>
              </c:ext>
            </c:extLst>
          </c:dPt>
          <c:dLbls>
            <c:dLbl>
              <c:idx val="4"/>
              <c:layout>
                <c:manualLayout>
                  <c:x val="-3.1446533094009653E-2"/>
                  <c:y val="-7.88177339901477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57-4266-9AF2-998765986F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 '!$E$20:$E$24</c:f>
              <c:strCache>
                <c:ptCount val="5"/>
                <c:pt idx="0">
                  <c:v>Needs Improvement</c:v>
                </c:pt>
                <c:pt idx="1">
                  <c:v>Outstanding</c:v>
                </c:pt>
                <c:pt idx="2">
                  <c:v>Exceeding</c:v>
                </c:pt>
                <c:pt idx="3">
                  <c:v>Achieving</c:v>
                </c:pt>
                <c:pt idx="4">
                  <c:v>Developing</c:v>
                </c:pt>
              </c:strCache>
            </c:strRef>
          </c:cat>
          <c:val>
            <c:numRef>
              <c:f>'Analysis '!$F$20:$F$24</c:f>
              <c:numCache>
                <c:formatCode>_("₦"* #,##0_);_("₦"* \(#,##0\);_("₦"* "-"_);_(@_)</c:formatCode>
                <c:ptCount val="5"/>
                <c:pt idx="0">
                  <c:v>0</c:v>
                </c:pt>
                <c:pt idx="1">
                  <c:v>17840.271692307688</c:v>
                </c:pt>
                <c:pt idx="2">
                  <c:v>55646.719999999994</c:v>
                </c:pt>
                <c:pt idx="3">
                  <c:v>64258.796538461538</c:v>
                </c:pt>
                <c:pt idx="4">
                  <c:v>167397.37784615383</c:v>
                </c:pt>
              </c:numCache>
            </c:numRef>
          </c:val>
          <c:extLst>
            <c:ext xmlns:c16="http://schemas.microsoft.com/office/drawing/2014/chart" uri="{C3380CC4-5D6E-409C-BE32-E72D297353CC}">
              <c16:uniqueId val="{00000002-5C57-4266-9AF2-998765986F22}"/>
            </c:ext>
          </c:extLst>
        </c:ser>
        <c:dLbls>
          <c:dLblPos val="outEnd"/>
          <c:showLegendKey val="0"/>
          <c:showVal val="1"/>
          <c:showCatName val="0"/>
          <c:showSerName val="0"/>
          <c:showPercent val="0"/>
          <c:showBubbleSize val="0"/>
        </c:dLbls>
        <c:gapWidth val="182"/>
        <c:axId val="547396591"/>
        <c:axId val="547389935"/>
      </c:barChart>
      <c:catAx>
        <c:axId val="54739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7389935"/>
        <c:crosses val="autoZero"/>
        <c:auto val="1"/>
        <c:lblAlgn val="ctr"/>
        <c:lblOffset val="100"/>
        <c:noMultiLvlLbl val="0"/>
      </c:catAx>
      <c:valAx>
        <c:axId val="547389935"/>
        <c:scaling>
          <c:orientation val="minMax"/>
        </c:scaling>
        <c:delete val="1"/>
        <c:axPos val="b"/>
        <c:numFmt formatCode="_(&quot;₦&quot;* #,##0_);_(&quot;₦&quot;* \(#,##0\);_(&quot;₦&quot;* &quot;-&quot;_);_(@_)" sourceLinked="1"/>
        <c:majorTickMark val="none"/>
        <c:minorTickMark val="none"/>
        <c:tickLblPos val="nextTo"/>
        <c:crossAx val="54739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 '!A1"/><Relationship Id="rId2" Type="http://schemas.openxmlformats.org/officeDocument/2006/relationships/hyperlink" Target="#'Clean Data'!A1"/><Relationship Id="rId1" Type="http://schemas.openxmlformats.org/officeDocument/2006/relationships/hyperlink" Target="#'Formula sheet'!A1"/><Relationship Id="rId4" Type="http://schemas.openxmlformats.org/officeDocument/2006/relationships/hyperlink" Target="#'HR Dashboard'!A1"/></Relationships>
</file>

<file path=xl/drawings/_rels/drawing2.xml.rels><?xml version="1.0" encoding="UTF-8" standalone="yes"?>
<Relationships xmlns="http://schemas.openxmlformats.org/package/2006/relationships"><Relationship Id="rId3" Type="http://schemas.openxmlformats.org/officeDocument/2006/relationships/hyperlink" Target="#'Analysis '!A1"/><Relationship Id="rId2" Type="http://schemas.openxmlformats.org/officeDocument/2006/relationships/hyperlink" Target="#'Clean Data'!A1"/><Relationship Id="rId1" Type="http://schemas.openxmlformats.org/officeDocument/2006/relationships/hyperlink" Target="#'Formula sheet'!A1"/><Relationship Id="rId4" Type="http://schemas.openxmlformats.org/officeDocument/2006/relationships/hyperlink" Target="#'HR 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Clean Data'!A1"/><Relationship Id="rId7" Type="http://schemas.openxmlformats.org/officeDocument/2006/relationships/chart" Target="../charts/chart3.xml"/><Relationship Id="rId2" Type="http://schemas.openxmlformats.org/officeDocument/2006/relationships/hyperlink" Target="#'Formula sheet'!A1"/><Relationship Id="rId1" Type="http://schemas.openxmlformats.org/officeDocument/2006/relationships/chart" Target="../charts/chart1.xml"/><Relationship Id="rId6" Type="http://schemas.openxmlformats.org/officeDocument/2006/relationships/chart" Target="../charts/chart2.xml"/><Relationship Id="rId5" Type="http://schemas.openxmlformats.org/officeDocument/2006/relationships/hyperlink" Target="#'HR Dashboard'!A1"/><Relationship Id="rId4" Type="http://schemas.openxmlformats.org/officeDocument/2006/relationships/hyperlink" Target="#'Analysis '!A1"/></Relationships>
</file>

<file path=xl/drawings/drawing1.xml><?xml version="1.0" encoding="utf-8"?>
<xdr:wsDr xmlns:xdr="http://schemas.openxmlformats.org/drawingml/2006/spreadsheetDrawing" xmlns:a="http://schemas.openxmlformats.org/drawingml/2006/main">
  <xdr:twoCellAnchor>
    <xdr:from>
      <xdr:col>0</xdr:col>
      <xdr:colOff>25807</xdr:colOff>
      <xdr:row>0</xdr:row>
      <xdr:rowOff>0</xdr:rowOff>
    </xdr:from>
    <xdr:to>
      <xdr:col>1</xdr:col>
      <xdr:colOff>118398</xdr:colOff>
      <xdr:row>59</xdr:row>
      <xdr:rowOff>73468</xdr:rowOff>
    </xdr:to>
    <xdr:sp macro="" textlink="">
      <xdr:nvSpPr>
        <xdr:cNvPr id="16" name="Rectangle: Rounded Corners 15">
          <a:extLst>
            <a:ext uri="{FF2B5EF4-FFF2-40B4-BE49-F238E27FC236}">
              <a16:creationId xmlns:a16="http://schemas.microsoft.com/office/drawing/2014/main" id="{22D47588-7A82-4A15-9273-8F130EE05EE7}"/>
            </a:ext>
          </a:extLst>
        </xdr:cNvPr>
        <xdr:cNvSpPr/>
      </xdr:nvSpPr>
      <xdr:spPr>
        <a:xfrm rot="16200000">
          <a:off x="-4342163" y="4367970"/>
          <a:ext cx="10844656" cy="2108716"/>
        </a:xfrm>
        <a:prstGeom prst="roundRect">
          <a:avLst>
            <a:gd name="adj" fmla="val 24220"/>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83611</xdr:colOff>
      <xdr:row>5</xdr:row>
      <xdr:rowOff>56531</xdr:rowOff>
    </xdr:from>
    <xdr:to>
      <xdr:col>1</xdr:col>
      <xdr:colOff>100236</xdr:colOff>
      <xdr:row>13</xdr:row>
      <xdr:rowOff>108031</xdr:rowOff>
    </xdr:to>
    <xdr:sp macro="" textlink="">
      <xdr:nvSpPr>
        <xdr:cNvPr id="17" name="Oval 16">
          <a:hlinkClick xmlns:r="http://schemas.openxmlformats.org/officeDocument/2006/relationships" r:id="rId1"/>
          <a:extLst>
            <a:ext uri="{FF2B5EF4-FFF2-40B4-BE49-F238E27FC236}">
              <a16:creationId xmlns:a16="http://schemas.microsoft.com/office/drawing/2014/main" id="{E6F0D6AA-1964-4358-AB66-DBEB6DA2BC07}"/>
            </a:ext>
          </a:extLst>
        </xdr:cNvPr>
        <xdr:cNvSpPr/>
      </xdr:nvSpPr>
      <xdr:spPr>
        <a:xfrm>
          <a:off x="83611" y="969344"/>
          <a:ext cx="203275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Formular Sheet</a:t>
          </a:r>
          <a:endParaRPr lang="en-NG" sz="1600"/>
        </a:p>
      </xdr:txBody>
    </xdr:sp>
    <xdr:clientData/>
  </xdr:twoCellAnchor>
  <xdr:twoCellAnchor>
    <xdr:from>
      <xdr:col>0</xdr:col>
      <xdr:colOff>11237</xdr:colOff>
      <xdr:row>14</xdr:row>
      <xdr:rowOff>119495</xdr:rowOff>
    </xdr:from>
    <xdr:to>
      <xdr:col>1</xdr:col>
      <xdr:colOff>27862</xdr:colOff>
      <xdr:row>22</xdr:row>
      <xdr:rowOff>170995</xdr:rowOff>
    </xdr:to>
    <xdr:sp macro="" textlink="">
      <xdr:nvSpPr>
        <xdr:cNvPr id="18" name="Oval 17">
          <a:hlinkClick xmlns:r="http://schemas.openxmlformats.org/officeDocument/2006/relationships" r:id="rId2"/>
          <a:extLst>
            <a:ext uri="{FF2B5EF4-FFF2-40B4-BE49-F238E27FC236}">
              <a16:creationId xmlns:a16="http://schemas.microsoft.com/office/drawing/2014/main" id="{23A26627-2018-4A13-BA8B-DF0A6E33F250}"/>
            </a:ext>
          </a:extLst>
        </xdr:cNvPr>
        <xdr:cNvSpPr/>
      </xdr:nvSpPr>
      <xdr:spPr>
        <a:xfrm>
          <a:off x="11237" y="2675370"/>
          <a:ext cx="203275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Clean Data</a:t>
          </a:r>
          <a:endParaRPr lang="en-NG" sz="1600"/>
        </a:p>
      </xdr:txBody>
    </xdr:sp>
    <xdr:clientData/>
  </xdr:twoCellAnchor>
  <xdr:twoCellAnchor>
    <xdr:from>
      <xdr:col>0</xdr:col>
      <xdr:colOff>0</xdr:colOff>
      <xdr:row>24</xdr:row>
      <xdr:rowOff>7849</xdr:rowOff>
    </xdr:from>
    <xdr:to>
      <xdr:col>1</xdr:col>
      <xdr:colOff>16625</xdr:colOff>
      <xdr:row>32</xdr:row>
      <xdr:rowOff>59349</xdr:rowOff>
    </xdr:to>
    <xdr:sp macro="" textlink="">
      <xdr:nvSpPr>
        <xdr:cNvPr id="19" name="Oval 18">
          <a:hlinkClick xmlns:r="http://schemas.openxmlformats.org/officeDocument/2006/relationships" r:id="rId3"/>
          <a:extLst>
            <a:ext uri="{FF2B5EF4-FFF2-40B4-BE49-F238E27FC236}">
              <a16:creationId xmlns:a16="http://schemas.microsoft.com/office/drawing/2014/main" id="{A34F104B-8495-4C05-9AB9-144990C0F8B0}"/>
            </a:ext>
          </a:extLst>
        </xdr:cNvPr>
        <xdr:cNvSpPr/>
      </xdr:nvSpPr>
      <xdr:spPr>
        <a:xfrm>
          <a:off x="0" y="4389349"/>
          <a:ext cx="203275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Analysis</a:t>
          </a:r>
          <a:endParaRPr lang="en-NG" sz="1600"/>
        </a:p>
      </xdr:txBody>
    </xdr:sp>
    <xdr:clientData/>
  </xdr:twoCellAnchor>
  <xdr:twoCellAnchor>
    <xdr:from>
      <xdr:col>0</xdr:col>
      <xdr:colOff>45414</xdr:colOff>
      <xdr:row>33</xdr:row>
      <xdr:rowOff>104155</xdr:rowOff>
    </xdr:from>
    <xdr:to>
      <xdr:col>1</xdr:col>
      <xdr:colOff>62039</xdr:colOff>
      <xdr:row>41</xdr:row>
      <xdr:rowOff>155655</xdr:rowOff>
    </xdr:to>
    <xdr:sp macro="" textlink="">
      <xdr:nvSpPr>
        <xdr:cNvPr id="20" name="Oval 19">
          <a:hlinkClick xmlns:r="http://schemas.openxmlformats.org/officeDocument/2006/relationships" r:id="rId4"/>
          <a:extLst>
            <a:ext uri="{FF2B5EF4-FFF2-40B4-BE49-F238E27FC236}">
              <a16:creationId xmlns:a16="http://schemas.microsoft.com/office/drawing/2014/main" id="{A0EE43DB-0FE4-493A-8C8C-2196CB8FC9EC}"/>
            </a:ext>
          </a:extLst>
        </xdr:cNvPr>
        <xdr:cNvSpPr/>
      </xdr:nvSpPr>
      <xdr:spPr>
        <a:xfrm>
          <a:off x="45414" y="6128718"/>
          <a:ext cx="203275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HR Dashboard</a:t>
          </a:r>
          <a:endParaRPr lang="en-NG"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25807</xdr:colOff>
      <xdr:row>1</xdr:row>
      <xdr:rowOff>0</xdr:rowOff>
    </xdr:from>
    <xdr:to>
      <xdr:col>0</xdr:col>
      <xdr:colOff>1721773</xdr:colOff>
      <xdr:row>61</xdr:row>
      <xdr:rowOff>49656</xdr:rowOff>
    </xdr:to>
    <xdr:sp macro="" textlink="">
      <xdr:nvSpPr>
        <xdr:cNvPr id="13" name="Rectangle: Rounded Corners 12">
          <a:extLst>
            <a:ext uri="{FF2B5EF4-FFF2-40B4-BE49-F238E27FC236}">
              <a16:creationId xmlns:a16="http://schemas.microsoft.com/office/drawing/2014/main" id="{4A035A12-5A34-4923-B624-05FEA3D8DA0C}"/>
            </a:ext>
          </a:extLst>
        </xdr:cNvPr>
        <xdr:cNvSpPr/>
      </xdr:nvSpPr>
      <xdr:spPr>
        <a:xfrm rot="16200000">
          <a:off x="-4548538" y="4860095"/>
          <a:ext cx="10844656" cy="1695966"/>
        </a:xfrm>
        <a:prstGeom prst="roundRect">
          <a:avLst>
            <a:gd name="adj" fmla="val 24220"/>
          </a:avLst>
        </a:prstGeom>
        <a:solidFill>
          <a:schemeClr val="accent5">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83611</xdr:colOff>
      <xdr:row>6</xdr:row>
      <xdr:rowOff>69761</xdr:rowOff>
    </xdr:from>
    <xdr:to>
      <xdr:col>0</xdr:col>
      <xdr:colOff>1703611</xdr:colOff>
      <xdr:row>14</xdr:row>
      <xdr:rowOff>142427</xdr:rowOff>
    </xdr:to>
    <xdr:sp macro="" textlink="">
      <xdr:nvSpPr>
        <xdr:cNvPr id="14" name="Oval 13">
          <a:hlinkClick xmlns:r="http://schemas.openxmlformats.org/officeDocument/2006/relationships" r:id="rId1"/>
          <a:extLst>
            <a:ext uri="{FF2B5EF4-FFF2-40B4-BE49-F238E27FC236}">
              <a16:creationId xmlns:a16="http://schemas.microsoft.com/office/drawing/2014/main" id="{5F424DF2-D3F6-46D9-AD65-83ED7DB08D13}"/>
            </a:ext>
          </a:extLst>
        </xdr:cNvPr>
        <xdr:cNvSpPr/>
      </xdr:nvSpPr>
      <xdr:spPr>
        <a:xfrm>
          <a:off x="83611" y="1255094"/>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Formular Sheet</a:t>
          </a:r>
          <a:endParaRPr lang="en-NG" sz="1600"/>
        </a:p>
      </xdr:txBody>
    </xdr:sp>
    <xdr:clientData/>
  </xdr:twoCellAnchor>
  <xdr:twoCellAnchor>
    <xdr:from>
      <xdr:col>0</xdr:col>
      <xdr:colOff>11237</xdr:colOff>
      <xdr:row>15</xdr:row>
      <xdr:rowOff>156537</xdr:rowOff>
    </xdr:from>
    <xdr:to>
      <xdr:col>0</xdr:col>
      <xdr:colOff>1631237</xdr:colOff>
      <xdr:row>24</xdr:row>
      <xdr:rowOff>49287</xdr:rowOff>
    </xdr:to>
    <xdr:sp macro="" textlink="">
      <xdr:nvSpPr>
        <xdr:cNvPr id="15" name="Oval 14">
          <a:hlinkClick xmlns:r="http://schemas.openxmlformats.org/officeDocument/2006/relationships" r:id="rId2"/>
          <a:extLst>
            <a:ext uri="{FF2B5EF4-FFF2-40B4-BE49-F238E27FC236}">
              <a16:creationId xmlns:a16="http://schemas.microsoft.com/office/drawing/2014/main" id="{FD65B479-89C2-438B-A59C-8A60E35CDEB2}"/>
            </a:ext>
          </a:extLst>
        </xdr:cNvPr>
        <xdr:cNvSpPr/>
      </xdr:nvSpPr>
      <xdr:spPr>
        <a:xfrm>
          <a:off x="11237" y="2961120"/>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Clean Data</a:t>
          </a:r>
          <a:endParaRPr lang="en-NG" sz="1600"/>
        </a:p>
      </xdr:txBody>
    </xdr:sp>
    <xdr:clientData/>
  </xdr:twoCellAnchor>
  <xdr:twoCellAnchor>
    <xdr:from>
      <xdr:col>0</xdr:col>
      <xdr:colOff>0</xdr:colOff>
      <xdr:row>25</xdr:row>
      <xdr:rowOff>71349</xdr:rowOff>
    </xdr:from>
    <xdr:to>
      <xdr:col>0</xdr:col>
      <xdr:colOff>1620000</xdr:colOff>
      <xdr:row>33</xdr:row>
      <xdr:rowOff>144016</xdr:rowOff>
    </xdr:to>
    <xdr:sp macro="" textlink="">
      <xdr:nvSpPr>
        <xdr:cNvPr id="16" name="Oval 15">
          <a:hlinkClick xmlns:r="http://schemas.openxmlformats.org/officeDocument/2006/relationships" r:id="rId3"/>
          <a:extLst>
            <a:ext uri="{FF2B5EF4-FFF2-40B4-BE49-F238E27FC236}">
              <a16:creationId xmlns:a16="http://schemas.microsoft.com/office/drawing/2014/main" id="{38875038-8D80-4DE0-828B-EA49C5CA7F3C}"/>
            </a:ext>
          </a:extLst>
        </xdr:cNvPr>
        <xdr:cNvSpPr/>
      </xdr:nvSpPr>
      <xdr:spPr>
        <a:xfrm>
          <a:off x="0" y="4675099"/>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Analysis</a:t>
          </a:r>
          <a:endParaRPr lang="en-NG" sz="1600"/>
        </a:p>
      </xdr:txBody>
    </xdr:sp>
    <xdr:clientData/>
  </xdr:twoCellAnchor>
  <xdr:twoCellAnchor>
    <xdr:from>
      <xdr:col>0</xdr:col>
      <xdr:colOff>45414</xdr:colOff>
      <xdr:row>35</xdr:row>
      <xdr:rowOff>11551</xdr:rowOff>
    </xdr:from>
    <xdr:to>
      <xdr:col>0</xdr:col>
      <xdr:colOff>1665414</xdr:colOff>
      <xdr:row>43</xdr:row>
      <xdr:rowOff>84218</xdr:rowOff>
    </xdr:to>
    <xdr:sp macro="" textlink="">
      <xdr:nvSpPr>
        <xdr:cNvPr id="17" name="Oval 16">
          <a:hlinkClick xmlns:r="http://schemas.openxmlformats.org/officeDocument/2006/relationships" r:id="rId4"/>
          <a:extLst>
            <a:ext uri="{FF2B5EF4-FFF2-40B4-BE49-F238E27FC236}">
              <a16:creationId xmlns:a16="http://schemas.microsoft.com/office/drawing/2014/main" id="{6C086ACA-4483-4448-AD16-74F5B2C17B0B}"/>
            </a:ext>
          </a:extLst>
        </xdr:cNvPr>
        <xdr:cNvSpPr/>
      </xdr:nvSpPr>
      <xdr:spPr>
        <a:xfrm>
          <a:off x="45414" y="6414468"/>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HR Dashboard</a:t>
          </a:r>
          <a:endParaRPr lang="en-NG"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273051</xdr:colOff>
      <xdr:row>11</xdr:row>
      <xdr:rowOff>26811</xdr:rowOff>
    </xdr:from>
    <xdr:to>
      <xdr:col>22</xdr:col>
      <xdr:colOff>127001</xdr:colOff>
      <xdr:row>75</xdr:row>
      <xdr:rowOff>139700</xdr:rowOff>
    </xdr:to>
    <xdr:sp macro="" textlink="">
      <xdr:nvSpPr>
        <xdr:cNvPr id="17" name="Rectangle: Rounded Corners 16">
          <a:extLst>
            <a:ext uri="{FF2B5EF4-FFF2-40B4-BE49-F238E27FC236}">
              <a16:creationId xmlns:a16="http://schemas.microsoft.com/office/drawing/2014/main" id="{C1981DAA-57CC-4CDA-8354-561B2ECADD41}"/>
            </a:ext>
          </a:extLst>
        </xdr:cNvPr>
        <xdr:cNvSpPr/>
      </xdr:nvSpPr>
      <xdr:spPr>
        <a:xfrm>
          <a:off x="882651" y="2122311"/>
          <a:ext cx="12655550" cy="12304889"/>
        </a:xfrm>
        <a:prstGeom prst="roundRect">
          <a:avLst>
            <a:gd name="adj" fmla="val 3125"/>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330399</xdr:colOff>
      <xdr:row>18</xdr:row>
      <xdr:rowOff>24902</xdr:rowOff>
    </xdr:from>
    <xdr:to>
      <xdr:col>9</xdr:col>
      <xdr:colOff>419257</xdr:colOff>
      <xdr:row>23</xdr:row>
      <xdr:rowOff>17759</xdr:rowOff>
    </xdr:to>
    <xdr:grpSp>
      <xdr:nvGrpSpPr>
        <xdr:cNvPr id="21" name="Group 20">
          <a:extLst>
            <a:ext uri="{FF2B5EF4-FFF2-40B4-BE49-F238E27FC236}">
              <a16:creationId xmlns:a16="http://schemas.microsoft.com/office/drawing/2014/main" id="{1292FA46-F970-46B0-A158-D924B5A75A74}"/>
            </a:ext>
          </a:extLst>
        </xdr:cNvPr>
        <xdr:cNvGrpSpPr/>
      </xdr:nvGrpSpPr>
      <xdr:grpSpPr>
        <a:xfrm>
          <a:off x="3399566" y="3453902"/>
          <a:ext cx="2544191" cy="945357"/>
          <a:chOff x="285751" y="1143001"/>
          <a:chExt cx="2106083" cy="719666"/>
        </a:xfrm>
      </xdr:grpSpPr>
      <xdr:sp macro="" textlink="">
        <xdr:nvSpPr>
          <xdr:cNvPr id="22" name="Rectangle: Rounded Corners 21">
            <a:extLst>
              <a:ext uri="{FF2B5EF4-FFF2-40B4-BE49-F238E27FC236}">
                <a16:creationId xmlns:a16="http://schemas.microsoft.com/office/drawing/2014/main" id="{27EFFE22-8119-4FF1-B789-E7CE0255167F}"/>
              </a:ext>
            </a:extLst>
          </xdr:cNvPr>
          <xdr:cNvSpPr/>
        </xdr:nvSpPr>
        <xdr:spPr>
          <a:xfrm>
            <a:off x="285751" y="1143001"/>
            <a:ext cx="2106083" cy="719666"/>
          </a:xfrm>
          <a:prstGeom prst="roundRect">
            <a:avLst/>
          </a:prstGeom>
          <a:solidFill>
            <a:srgbClr val="31859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TOTAL EMLOYEE</a:t>
            </a:r>
            <a:endParaRPr lang="en-NG" sz="1800"/>
          </a:p>
        </xdr:txBody>
      </xdr:sp>
      <xdr:sp macro="" textlink="HEADCOUNT">
        <xdr:nvSpPr>
          <xdr:cNvPr id="23" name="TextBox 22">
            <a:extLst>
              <a:ext uri="{FF2B5EF4-FFF2-40B4-BE49-F238E27FC236}">
                <a16:creationId xmlns:a16="http://schemas.microsoft.com/office/drawing/2014/main" id="{43DEA73D-F14E-47D9-BC06-2BA28EC3B3AD}"/>
              </a:ext>
            </a:extLst>
          </xdr:cNvPr>
          <xdr:cNvSpPr txBox="1"/>
        </xdr:nvSpPr>
        <xdr:spPr>
          <a:xfrm>
            <a:off x="814917" y="1534583"/>
            <a:ext cx="1053042" cy="287866"/>
          </a:xfrm>
          <a:prstGeom prst="rect">
            <a:avLst/>
          </a:prstGeom>
          <a:solidFill>
            <a:srgbClr val="31859C"/>
          </a:solidFill>
          <a:ln w="9525" cmpd="sng">
            <a:solidFill>
              <a:schemeClr val="lt1">
                <a:shade val="50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740D28-8B62-4662-9B2F-9344753DF3E2}"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140</a:t>
            </a:fld>
            <a:endParaRPr lang="en-NG"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xdr:from>
      <xdr:col>11</xdr:col>
      <xdr:colOff>389346</xdr:colOff>
      <xdr:row>18</xdr:row>
      <xdr:rowOff>21974</xdr:rowOff>
    </xdr:from>
    <xdr:to>
      <xdr:col>15</xdr:col>
      <xdr:colOff>471147</xdr:colOff>
      <xdr:row>23</xdr:row>
      <xdr:rowOff>14831</xdr:rowOff>
    </xdr:to>
    <xdr:grpSp>
      <xdr:nvGrpSpPr>
        <xdr:cNvPr id="27" name="Group 26">
          <a:extLst>
            <a:ext uri="{FF2B5EF4-FFF2-40B4-BE49-F238E27FC236}">
              <a16:creationId xmlns:a16="http://schemas.microsoft.com/office/drawing/2014/main" id="{CA57357B-4FF0-46D6-85AB-73925D456813}"/>
            </a:ext>
          </a:extLst>
        </xdr:cNvPr>
        <xdr:cNvGrpSpPr/>
      </xdr:nvGrpSpPr>
      <xdr:grpSpPr>
        <a:xfrm>
          <a:off x="7141513" y="3450974"/>
          <a:ext cx="2537134" cy="945357"/>
          <a:chOff x="5507627" y="1114424"/>
          <a:chExt cx="2547066" cy="892500"/>
        </a:xfrm>
      </xdr:grpSpPr>
      <xdr:sp macro="" textlink="">
        <xdr:nvSpPr>
          <xdr:cNvPr id="28" name="Rectangle: Rounded Corners 27">
            <a:extLst>
              <a:ext uri="{FF2B5EF4-FFF2-40B4-BE49-F238E27FC236}">
                <a16:creationId xmlns:a16="http://schemas.microsoft.com/office/drawing/2014/main" id="{E2D00073-1875-4FF7-B2FC-7782C178B327}"/>
              </a:ext>
            </a:extLst>
          </xdr:cNvPr>
          <xdr:cNvSpPr/>
        </xdr:nvSpPr>
        <xdr:spPr>
          <a:xfrm>
            <a:off x="5507627" y="1114424"/>
            <a:ext cx="2547066" cy="892500"/>
          </a:xfrm>
          <a:prstGeom prst="roundRect">
            <a:avLst/>
          </a:prstGeom>
          <a:solidFill>
            <a:srgbClr val="31859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AVERAGE</a:t>
            </a:r>
            <a:r>
              <a:rPr lang="en-GB" sz="1800" baseline="0"/>
              <a:t> SALARY</a:t>
            </a:r>
            <a:endParaRPr lang="en-NG" sz="1800"/>
          </a:p>
        </xdr:txBody>
      </xdr:sp>
      <xdr:sp macro="" textlink="AVERAGESALARY">
        <xdr:nvSpPr>
          <xdr:cNvPr id="29" name="TextBox 28">
            <a:extLst>
              <a:ext uri="{FF2B5EF4-FFF2-40B4-BE49-F238E27FC236}">
                <a16:creationId xmlns:a16="http://schemas.microsoft.com/office/drawing/2014/main" id="{0B69F2FB-32CB-49F2-948C-201591A965C1}"/>
              </a:ext>
            </a:extLst>
          </xdr:cNvPr>
          <xdr:cNvSpPr txBox="1"/>
        </xdr:nvSpPr>
        <xdr:spPr>
          <a:xfrm>
            <a:off x="6064250" y="1523999"/>
            <a:ext cx="1273533" cy="357000"/>
          </a:xfrm>
          <a:prstGeom prst="rect">
            <a:avLst/>
          </a:prstGeom>
          <a:solidFill>
            <a:schemeClr val="accent5">
              <a:lumMod val="75000"/>
            </a:schemeClr>
          </a:solidFill>
          <a:ln w="9525" cmpd="sng">
            <a:solidFill>
              <a:schemeClr val="accent5">
                <a:lumMod val="7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44638B-C0E7-4F1E-A472-727DD024F425}"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pPr algn="ctr"/>
              <a:t> ₦83,121 </a:t>
            </a:fld>
            <a:endParaRPr lang="en-NG"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xdr:from>
      <xdr:col>1</xdr:col>
      <xdr:colOff>504120</xdr:colOff>
      <xdr:row>11</xdr:row>
      <xdr:rowOff>161924</xdr:rowOff>
    </xdr:from>
    <xdr:to>
      <xdr:col>21</xdr:col>
      <xdr:colOff>522111</xdr:colOff>
      <xdr:row>17</xdr:row>
      <xdr:rowOff>146049</xdr:rowOff>
    </xdr:to>
    <xdr:sp macro="" textlink="">
      <xdr:nvSpPr>
        <xdr:cNvPr id="36" name="Rectangle: Rounded Corners 35">
          <a:extLst>
            <a:ext uri="{FF2B5EF4-FFF2-40B4-BE49-F238E27FC236}">
              <a16:creationId xmlns:a16="http://schemas.microsoft.com/office/drawing/2014/main" id="{8CA56232-8580-4CA9-BB1F-F5B31C2734B3}"/>
            </a:ext>
          </a:extLst>
        </xdr:cNvPr>
        <xdr:cNvSpPr/>
      </xdr:nvSpPr>
      <xdr:spPr>
        <a:xfrm>
          <a:off x="1110898" y="2179813"/>
          <a:ext cx="12153546" cy="1084792"/>
        </a:xfrm>
        <a:prstGeom prst="roundRect">
          <a:avLst>
            <a:gd name="adj" fmla="val 11544"/>
          </a:avLst>
        </a:prstGeom>
        <a:solidFill>
          <a:schemeClr val="accent5">
            <a:lumMod val="75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141112</xdr:colOff>
      <xdr:row>12</xdr:row>
      <xdr:rowOff>166511</xdr:rowOff>
    </xdr:from>
    <xdr:to>
      <xdr:col>20</xdr:col>
      <xdr:colOff>416278</xdr:colOff>
      <xdr:row>17</xdr:row>
      <xdr:rowOff>-1</xdr:rowOff>
    </xdr:to>
    <xdr:sp macro="" textlink="">
      <xdr:nvSpPr>
        <xdr:cNvPr id="37" name="TextBox 36">
          <a:extLst>
            <a:ext uri="{FF2B5EF4-FFF2-40B4-BE49-F238E27FC236}">
              <a16:creationId xmlns:a16="http://schemas.microsoft.com/office/drawing/2014/main" id="{9E1B1957-8A42-4E07-95A3-D2083C912A52}"/>
            </a:ext>
          </a:extLst>
        </xdr:cNvPr>
        <xdr:cNvSpPr txBox="1"/>
      </xdr:nvSpPr>
      <xdr:spPr>
        <a:xfrm>
          <a:off x="1961445" y="2367844"/>
          <a:ext cx="10590389" cy="750711"/>
        </a:xfrm>
        <a:prstGeom prst="rect">
          <a:avLst/>
        </a:prstGeom>
        <a:solidFill>
          <a:srgbClr val="FFFFFF">
            <a:alpha val="1961"/>
          </a:srgbClr>
        </a:solidFill>
        <a:ln w="9525" cmpd="sng">
          <a:solidFill>
            <a:schemeClr val="accent5">
              <a:lumMod val="7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solidFill>
                <a:schemeClr val="bg1"/>
              </a:solidFill>
            </a:rPr>
            <a:t>IOTBTECH -</a:t>
          </a:r>
          <a:r>
            <a:rPr lang="en-GB" sz="3200" baseline="0">
              <a:solidFill>
                <a:schemeClr val="bg1"/>
              </a:solidFill>
            </a:rPr>
            <a:t> </a:t>
          </a:r>
          <a:r>
            <a:rPr lang="en-GB" sz="3200">
              <a:solidFill>
                <a:schemeClr val="bg1"/>
              </a:solidFill>
            </a:rPr>
            <a:t>HR</a:t>
          </a:r>
          <a:r>
            <a:rPr lang="en-GB" sz="3200" baseline="0">
              <a:solidFill>
                <a:schemeClr val="bg1"/>
              </a:solidFill>
            </a:rPr>
            <a:t> ANALYSIS DASHBOARD</a:t>
          </a:r>
          <a:endParaRPr lang="en-NG" sz="3200">
            <a:solidFill>
              <a:schemeClr val="bg1"/>
            </a:solidFill>
          </a:endParaRPr>
        </a:p>
      </xdr:txBody>
    </xdr:sp>
    <xdr:clientData/>
  </xdr:twoCellAnchor>
  <xdr:twoCellAnchor>
    <xdr:from>
      <xdr:col>1</xdr:col>
      <xdr:colOff>444502</xdr:colOff>
      <xdr:row>18</xdr:row>
      <xdr:rowOff>68349</xdr:rowOff>
    </xdr:from>
    <xdr:to>
      <xdr:col>4</xdr:col>
      <xdr:colOff>529171</xdr:colOff>
      <xdr:row>75</xdr:row>
      <xdr:rowOff>148169</xdr:rowOff>
    </xdr:to>
    <xdr:sp macro="" textlink="">
      <xdr:nvSpPr>
        <xdr:cNvPr id="38" name="Rectangle: Rounded Corners 37">
          <a:extLst>
            <a:ext uri="{FF2B5EF4-FFF2-40B4-BE49-F238E27FC236}">
              <a16:creationId xmlns:a16="http://schemas.microsoft.com/office/drawing/2014/main" id="{9CA5FD44-9FA7-494C-8AC9-38AE7351BBFB}"/>
            </a:ext>
          </a:extLst>
        </xdr:cNvPr>
        <xdr:cNvSpPr/>
      </xdr:nvSpPr>
      <xdr:spPr>
        <a:xfrm rot="16200000">
          <a:off x="-3264296" y="7685925"/>
          <a:ext cx="10536153" cy="1905002"/>
        </a:xfrm>
        <a:prstGeom prst="roundRect">
          <a:avLst>
            <a:gd name="adj" fmla="val 24220"/>
          </a:avLst>
        </a:prstGeom>
        <a:solidFill>
          <a:schemeClr val="accent5">
            <a:lumMod val="75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54014</xdr:colOff>
      <xdr:row>23</xdr:row>
      <xdr:rowOff>132935</xdr:rowOff>
    </xdr:from>
    <xdr:to>
      <xdr:col>12</xdr:col>
      <xdr:colOff>373945</xdr:colOff>
      <xdr:row>38</xdr:row>
      <xdr:rowOff>161057</xdr:rowOff>
    </xdr:to>
    <xdr:graphicFrame macro="">
      <xdr:nvGraphicFramePr>
        <xdr:cNvPr id="43" name="Chart 42">
          <a:extLst>
            <a:ext uri="{FF2B5EF4-FFF2-40B4-BE49-F238E27FC236}">
              <a16:creationId xmlns:a16="http://schemas.microsoft.com/office/drawing/2014/main" id="{1DEC1A97-503E-47AC-BFA0-7DB7C06A1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592668</xdr:colOff>
      <xdr:row>22</xdr:row>
      <xdr:rowOff>84667</xdr:rowOff>
    </xdr:from>
    <xdr:to>
      <xdr:col>4</xdr:col>
      <xdr:colOff>371168</xdr:colOff>
      <xdr:row>30</xdr:row>
      <xdr:rowOff>72667</xdr:rowOff>
    </xdr:to>
    <xdr:sp macro="" textlink="">
      <xdr:nvSpPr>
        <xdr:cNvPr id="56" name="Oval 55">
          <a:hlinkClick xmlns:r="http://schemas.openxmlformats.org/officeDocument/2006/relationships" r:id="rId2"/>
          <a:extLst>
            <a:ext uri="{FF2B5EF4-FFF2-40B4-BE49-F238E27FC236}">
              <a16:creationId xmlns:a16="http://schemas.microsoft.com/office/drawing/2014/main" id="{02F07598-58CA-4E58-8634-4D65C611CA37}"/>
            </a:ext>
          </a:extLst>
        </xdr:cNvPr>
        <xdr:cNvSpPr/>
      </xdr:nvSpPr>
      <xdr:spPr>
        <a:xfrm>
          <a:off x="1206501" y="4275667"/>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Formular Sheet</a:t>
          </a:r>
          <a:endParaRPr lang="en-NG" sz="1600"/>
        </a:p>
      </xdr:txBody>
    </xdr:sp>
    <xdr:clientData/>
  </xdr:twoCellAnchor>
  <xdr:twoCellAnchor>
    <xdr:from>
      <xdr:col>2</xdr:col>
      <xdr:colOff>84666</xdr:colOff>
      <xdr:row>33</xdr:row>
      <xdr:rowOff>101609</xdr:rowOff>
    </xdr:from>
    <xdr:to>
      <xdr:col>4</xdr:col>
      <xdr:colOff>477000</xdr:colOff>
      <xdr:row>41</xdr:row>
      <xdr:rowOff>89609</xdr:rowOff>
    </xdr:to>
    <xdr:sp macro="" textlink="">
      <xdr:nvSpPr>
        <xdr:cNvPr id="57" name="Oval 56">
          <a:hlinkClick xmlns:r="http://schemas.openxmlformats.org/officeDocument/2006/relationships" r:id="rId3"/>
          <a:extLst>
            <a:ext uri="{FF2B5EF4-FFF2-40B4-BE49-F238E27FC236}">
              <a16:creationId xmlns:a16="http://schemas.microsoft.com/office/drawing/2014/main" id="{05DA70C5-0D5A-4D13-9598-2DCF6CDB0471}"/>
            </a:ext>
          </a:extLst>
        </xdr:cNvPr>
        <xdr:cNvSpPr/>
      </xdr:nvSpPr>
      <xdr:spPr>
        <a:xfrm>
          <a:off x="1312333" y="6388109"/>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Clean Data</a:t>
          </a:r>
          <a:endParaRPr lang="en-NG" sz="1600"/>
        </a:p>
      </xdr:txBody>
    </xdr:sp>
    <xdr:clientData/>
  </xdr:twoCellAnchor>
  <xdr:twoCellAnchor>
    <xdr:from>
      <xdr:col>2</xdr:col>
      <xdr:colOff>47624</xdr:colOff>
      <xdr:row>55</xdr:row>
      <xdr:rowOff>137591</xdr:rowOff>
    </xdr:from>
    <xdr:to>
      <xdr:col>4</xdr:col>
      <xdr:colOff>439958</xdr:colOff>
      <xdr:row>63</xdr:row>
      <xdr:rowOff>119241</xdr:rowOff>
    </xdr:to>
    <xdr:sp macro="" textlink="">
      <xdr:nvSpPr>
        <xdr:cNvPr id="58" name="Oval 57">
          <a:hlinkClick xmlns:r="http://schemas.openxmlformats.org/officeDocument/2006/relationships" r:id="rId4"/>
          <a:extLst>
            <a:ext uri="{FF2B5EF4-FFF2-40B4-BE49-F238E27FC236}">
              <a16:creationId xmlns:a16="http://schemas.microsoft.com/office/drawing/2014/main" id="{EAE84DAB-BE91-4B34-BC3B-29AA8EEA4813}"/>
            </a:ext>
          </a:extLst>
        </xdr:cNvPr>
        <xdr:cNvSpPr/>
      </xdr:nvSpPr>
      <xdr:spPr>
        <a:xfrm>
          <a:off x="1275291" y="10615091"/>
          <a:ext cx="1620000" cy="150565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Analysis</a:t>
          </a:r>
          <a:endParaRPr lang="en-NG" sz="1600"/>
        </a:p>
      </xdr:txBody>
    </xdr:sp>
    <xdr:clientData/>
  </xdr:twoCellAnchor>
  <xdr:twoCellAnchor>
    <xdr:from>
      <xdr:col>2</xdr:col>
      <xdr:colOff>20517</xdr:colOff>
      <xdr:row>43</xdr:row>
      <xdr:rowOff>155581</xdr:rowOff>
    </xdr:from>
    <xdr:to>
      <xdr:col>4</xdr:col>
      <xdr:colOff>412851</xdr:colOff>
      <xdr:row>51</xdr:row>
      <xdr:rowOff>143581</xdr:rowOff>
    </xdr:to>
    <xdr:sp macro="" textlink="">
      <xdr:nvSpPr>
        <xdr:cNvPr id="59" name="Oval 58">
          <a:hlinkClick xmlns:r="http://schemas.openxmlformats.org/officeDocument/2006/relationships" r:id="rId5"/>
          <a:extLst>
            <a:ext uri="{FF2B5EF4-FFF2-40B4-BE49-F238E27FC236}">
              <a16:creationId xmlns:a16="http://schemas.microsoft.com/office/drawing/2014/main" id="{413CCDE5-9CAC-43A1-98C0-25FDC0B65666}"/>
            </a:ext>
          </a:extLst>
        </xdr:cNvPr>
        <xdr:cNvSpPr/>
      </xdr:nvSpPr>
      <xdr:spPr>
        <a:xfrm>
          <a:off x="1248184" y="8347081"/>
          <a:ext cx="1620000" cy="1512000"/>
        </a:xfrm>
        <a:prstGeom prst="ellipse">
          <a:avLst/>
        </a:prstGeom>
        <a:solidFill>
          <a:schemeClr val="accent5">
            <a:lumMod val="50000"/>
          </a:schemeClr>
        </a:solidFill>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600"/>
            <a:t>HR Dashboard</a:t>
          </a:r>
          <a:endParaRPr lang="en-NG" sz="1600"/>
        </a:p>
      </xdr:txBody>
    </xdr:sp>
    <xdr:clientData/>
  </xdr:twoCellAnchor>
  <xdr:twoCellAnchor editAs="oneCell">
    <xdr:from>
      <xdr:col>17</xdr:col>
      <xdr:colOff>94544</xdr:colOff>
      <xdr:row>30</xdr:row>
      <xdr:rowOff>53625</xdr:rowOff>
    </xdr:from>
    <xdr:to>
      <xdr:col>20</xdr:col>
      <xdr:colOff>591961</xdr:colOff>
      <xdr:row>36</xdr:row>
      <xdr:rowOff>40922</xdr:rowOff>
    </xdr:to>
    <mc:AlternateContent xmlns:mc="http://schemas.openxmlformats.org/markup-compatibility/2006">
      <mc:Choice xmlns:a14="http://schemas.microsoft.com/office/drawing/2010/main" Requires="a14">
        <xdr:graphicFrame macro="">
          <xdr:nvGraphicFramePr>
            <xdr:cNvPr id="60" name="Department">
              <a:extLst>
                <a:ext uri="{FF2B5EF4-FFF2-40B4-BE49-F238E27FC236}">
                  <a16:creationId xmlns:a16="http://schemas.microsoft.com/office/drawing/2014/main" id="{AE46E31B-F2B0-4B53-AFFD-606465B2239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529711" y="5768625"/>
              <a:ext cx="2338917" cy="113029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87840</xdr:colOff>
      <xdr:row>23</xdr:row>
      <xdr:rowOff>171453</xdr:rowOff>
    </xdr:from>
    <xdr:to>
      <xdr:col>20</xdr:col>
      <xdr:colOff>590549</xdr:colOff>
      <xdr:row>30</xdr:row>
      <xdr:rowOff>4235</xdr:rowOff>
    </xdr:to>
    <mc:AlternateContent xmlns:mc="http://schemas.openxmlformats.org/markup-compatibility/2006">
      <mc:Choice xmlns:a14="http://schemas.microsoft.com/office/drawing/2010/main" Requires="a14">
        <xdr:graphicFrame macro="">
          <xdr:nvGraphicFramePr>
            <xdr:cNvPr id="61" name="Employment Status">
              <a:extLst>
                <a:ext uri="{FF2B5EF4-FFF2-40B4-BE49-F238E27FC236}">
                  <a16:creationId xmlns:a16="http://schemas.microsoft.com/office/drawing/2014/main" id="{7480D6DB-7907-427B-B61B-449115DB9A04}"/>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dr:sp macro="" textlink="">
          <xdr:nvSpPr>
            <xdr:cNvPr id="0" name=""/>
            <xdr:cNvSpPr>
              <a:spLocks noTextEdit="1"/>
            </xdr:cNvSpPr>
          </xdr:nvSpPr>
          <xdr:spPr>
            <a:xfrm>
              <a:off x="10523007" y="4552953"/>
              <a:ext cx="2344209" cy="116628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494945</xdr:colOff>
      <xdr:row>29</xdr:row>
      <xdr:rowOff>180626</xdr:rowOff>
    </xdr:from>
    <xdr:to>
      <xdr:col>16</xdr:col>
      <xdr:colOff>515055</xdr:colOff>
      <xdr:row>37</xdr:row>
      <xdr:rowOff>180625</xdr:rowOff>
    </xdr:to>
    <mc:AlternateContent xmlns:mc="http://schemas.openxmlformats.org/markup-compatibility/2006">
      <mc:Choice xmlns:a14="http://schemas.microsoft.com/office/drawing/2010/main" Requires="a14">
        <xdr:graphicFrame macro="">
          <xdr:nvGraphicFramePr>
            <xdr:cNvPr id="62" name="Years">
              <a:extLst>
                <a:ext uri="{FF2B5EF4-FFF2-40B4-BE49-F238E27FC236}">
                  <a16:creationId xmlns:a16="http://schemas.microsoft.com/office/drawing/2014/main" id="{731CDA7C-B2B9-40EB-9529-05FD9DB24DB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860945" y="5705126"/>
              <a:ext cx="2475443" cy="15239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466722</xdr:colOff>
      <xdr:row>23</xdr:row>
      <xdr:rowOff>179918</xdr:rowOff>
    </xdr:from>
    <xdr:to>
      <xdr:col>16</xdr:col>
      <xdr:colOff>472015</xdr:colOff>
      <xdr:row>29</xdr:row>
      <xdr:rowOff>132645</xdr:rowOff>
    </xdr:to>
    <mc:AlternateContent xmlns:mc="http://schemas.openxmlformats.org/markup-compatibility/2006">
      <mc:Choice xmlns:a14="http://schemas.microsoft.com/office/drawing/2010/main" Requires="a14">
        <xdr:graphicFrame macro="">
          <xdr:nvGraphicFramePr>
            <xdr:cNvPr id="63" name="Performance Band">
              <a:extLst>
                <a:ext uri="{FF2B5EF4-FFF2-40B4-BE49-F238E27FC236}">
                  <a16:creationId xmlns:a16="http://schemas.microsoft.com/office/drawing/2014/main" id="{6A7CB7B3-2D91-4641-83C4-335864AF55BE}"/>
                </a:ext>
              </a:extLst>
            </xdr:cNvPr>
            <xdr:cNvGraphicFramePr/>
          </xdr:nvGraphicFramePr>
          <xdr:xfrm>
            <a:off x="0" y="0"/>
            <a:ext cx="0" cy="0"/>
          </xdr:xfrm>
          <a:graphic>
            <a:graphicData uri="http://schemas.microsoft.com/office/drawing/2010/slicer">
              <sle:slicer xmlns:sle="http://schemas.microsoft.com/office/drawing/2010/slicer" name="Performance Band"/>
            </a:graphicData>
          </a:graphic>
        </xdr:graphicFrame>
      </mc:Choice>
      <mc:Fallback>
        <xdr:sp macro="" textlink="">
          <xdr:nvSpPr>
            <xdr:cNvPr id="0" name=""/>
            <xdr:cNvSpPr>
              <a:spLocks noTextEdit="1"/>
            </xdr:cNvSpPr>
          </xdr:nvSpPr>
          <xdr:spPr>
            <a:xfrm>
              <a:off x="7832722" y="4561418"/>
              <a:ext cx="2460626" cy="10957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287557</xdr:colOff>
      <xdr:row>18</xdr:row>
      <xdr:rowOff>13659</xdr:rowOff>
    </xdr:from>
    <xdr:to>
      <xdr:col>21</xdr:col>
      <xdr:colOff>376414</xdr:colOff>
      <xdr:row>23</xdr:row>
      <xdr:rowOff>6516</xdr:rowOff>
    </xdr:to>
    <xdr:grpSp>
      <xdr:nvGrpSpPr>
        <xdr:cNvPr id="39" name="Group 38">
          <a:extLst>
            <a:ext uri="{FF2B5EF4-FFF2-40B4-BE49-F238E27FC236}">
              <a16:creationId xmlns:a16="http://schemas.microsoft.com/office/drawing/2014/main" id="{86B20567-A3B1-4C99-B861-7C6EF1B30B17}"/>
            </a:ext>
          </a:extLst>
        </xdr:cNvPr>
        <xdr:cNvGrpSpPr/>
      </xdr:nvGrpSpPr>
      <xdr:grpSpPr>
        <a:xfrm>
          <a:off x="10722724" y="3442659"/>
          <a:ext cx="2544190" cy="945357"/>
          <a:chOff x="5721121" y="1073634"/>
          <a:chExt cx="2106083" cy="719666"/>
        </a:xfrm>
      </xdr:grpSpPr>
      <xdr:sp macro="" textlink="">
        <xdr:nvSpPr>
          <xdr:cNvPr id="40" name="Rectangle: Rounded Corners 39">
            <a:extLst>
              <a:ext uri="{FF2B5EF4-FFF2-40B4-BE49-F238E27FC236}">
                <a16:creationId xmlns:a16="http://schemas.microsoft.com/office/drawing/2014/main" id="{DD27E6F7-7CC7-46BE-9ED2-93A9BDF6304C}"/>
              </a:ext>
            </a:extLst>
          </xdr:cNvPr>
          <xdr:cNvSpPr/>
        </xdr:nvSpPr>
        <xdr:spPr>
          <a:xfrm>
            <a:off x="5721121" y="1073634"/>
            <a:ext cx="2106083" cy="719666"/>
          </a:xfrm>
          <a:prstGeom prst="roundRect">
            <a:avLst/>
          </a:prstGeom>
          <a:solidFill>
            <a:srgbClr val="31859C"/>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ATTRITION</a:t>
            </a:r>
            <a:r>
              <a:rPr lang="en-GB" sz="1800" baseline="0"/>
              <a:t> RATE</a:t>
            </a:r>
            <a:endParaRPr lang="en-NG" sz="1800"/>
          </a:p>
        </xdr:txBody>
      </xdr:sp>
      <xdr:sp macro="" textlink="Overallattrition">
        <xdr:nvSpPr>
          <xdr:cNvPr id="41" name="TextBox 40">
            <a:extLst>
              <a:ext uri="{FF2B5EF4-FFF2-40B4-BE49-F238E27FC236}">
                <a16:creationId xmlns:a16="http://schemas.microsoft.com/office/drawing/2014/main" id="{D5CF1C8B-93BB-4258-8160-5782EC1A76B8}"/>
              </a:ext>
            </a:extLst>
          </xdr:cNvPr>
          <xdr:cNvSpPr txBox="1"/>
        </xdr:nvSpPr>
        <xdr:spPr>
          <a:xfrm>
            <a:off x="6128852" y="1395159"/>
            <a:ext cx="1053042" cy="287866"/>
          </a:xfrm>
          <a:prstGeom prst="rect">
            <a:avLst/>
          </a:prstGeom>
          <a:solidFill>
            <a:schemeClr val="accent5">
              <a:lumMod val="75000"/>
            </a:schemeClr>
          </a:solidFill>
          <a:ln w="9525" cmpd="sng">
            <a:solidFill>
              <a:schemeClr val="accent5">
                <a:lumMod val="7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1C8DBC-24E4-40B8-9351-13036B8BCBAD}" type="TxLink">
              <a:rPr lang="en-US" sz="11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Calibri"/>
                <a:ea typeface="Calibri"/>
                <a:cs typeface="Calibri"/>
              </a:rPr>
              <a:t>17.14%</a:t>
            </a:fld>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xdr:from>
      <xdr:col>5</xdr:col>
      <xdr:colOff>115662</xdr:colOff>
      <xdr:row>56</xdr:row>
      <xdr:rowOff>7056</xdr:rowOff>
    </xdr:from>
    <xdr:to>
      <xdr:col>20</xdr:col>
      <xdr:colOff>402166</xdr:colOff>
      <xdr:row>75</xdr:row>
      <xdr:rowOff>134056</xdr:rowOff>
    </xdr:to>
    <xdr:graphicFrame macro="">
      <xdr:nvGraphicFramePr>
        <xdr:cNvPr id="45" name="Chart 44">
          <a:extLst>
            <a:ext uri="{FF2B5EF4-FFF2-40B4-BE49-F238E27FC236}">
              <a16:creationId xmlns:a16="http://schemas.microsoft.com/office/drawing/2014/main" id="{310926D5-9205-4A3D-882C-76F87EF83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576439</xdr:colOff>
      <xdr:row>39</xdr:row>
      <xdr:rowOff>131487</xdr:rowOff>
    </xdr:from>
    <xdr:to>
      <xdr:col>20</xdr:col>
      <xdr:colOff>347838</xdr:colOff>
      <xdr:row>54</xdr:row>
      <xdr:rowOff>144211</xdr:rowOff>
    </xdr:to>
    <xdr:graphicFrame macro="">
      <xdr:nvGraphicFramePr>
        <xdr:cNvPr id="46" name="Chart 45">
          <a:extLst>
            <a:ext uri="{FF2B5EF4-FFF2-40B4-BE49-F238E27FC236}">
              <a16:creationId xmlns:a16="http://schemas.microsoft.com/office/drawing/2014/main" id="{DF0A92B8-5F97-4047-8763-2FBCA18C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115712</xdr:colOff>
      <xdr:row>39</xdr:row>
      <xdr:rowOff>129370</xdr:rowOff>
    </xdr:from>
    <xdr:to>
      <xdr:col>12</xdr:col>
      <xdr:colOff>383823</xdr:colOff>
      <xdr:row>54</xdr:row>
      <xdr:rowOff>144815</xdr:rowOff>
    </xdr:to>
    <xdr:graphicFrame macro="">
      <xdr:nvGraphicFramePr>
        <xdr:cNvPr id="50" name="Chart 49">
          <a:extLst>
            <a:ext uri="{FF2B5EF4-FFF2-40B4-BE49-F238E27FC236}">
              <a16:creationId xmlns:a16="http://schemas.microsoft.com/office/drawing/2014/main" id="{4B8297BB-8976-4769-945D-E4BAC4C0A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LLO" refreshedDate="46208.746497685184" createdVersion="5" refreshedVersion="5" minRefreshableVersion="3" recordCount="150" xr:uid="{00000000-000A-0000-FFFF-FFFF03000000}">
  <cacheSource type="worksheet">
    <worksheetSource name="HrData"/>
  </cacheSource>
  <cacheFields count="16">
    <cacheField name="Emp ID" numFmtId="49">
      <sharedItems count="145">
        <s v="EMP127"/>
        <s v="EMP046"/>
        <s v="EMP134"/>
        <s v="EMP139"/>
        <s v="EMP112"/>
        <s v="EMP030"/>
        <s v="EMP096"/>
        <s v="EMP098"/>
        <s v="EMP095"/>
        <s v="EMP140"/>
        <s v="EMP020"/>
        <s v="EMP057"/>
        <s v="EMP016"/>
        <s v="EMP070"/>
        <s v="EMP025"/>
        <s v="EMP031"/>
        <s v="EMP126"/>
        <s v="EMP109"/>
        <s v="EMP066"/>
        <s v="EMP120"/>
        <s v="EMP019"/>
        <s v="EMP013"/>
        <s v="EMP010"/>
        <s v="EMP032"/>
        <s v="EMP082"/>
        <s v="EMP052"/>
        <s v="EMP129"/>
        <s v="EMP146"/>
        <s v="EMP099"/>
        <s v="EMP015"/>
        <s v="EMP076"/>
        <s v="EMP137"/>
        <s v="EMP056"/>
        <s v="EMP125"/>
        <s v="EMP085"/>
        <s v="EMP106"/>
        <s v="EMP043"/>
        <s v="EMP068"/>
        <s v="EMP128"/>
        <s v="EMP027"/>
        <s v="EMP136"/>
        <s v="EMP079"/>
        <s v="EMP149"/>
        <s v="EMP037"/>
        <s v="EMP077"/>
        <s v="EMP023"/>
        <s v="EMP133"/>
        <s v="EMP141"/>
        <s v="EMP012"/>
        <s v="EMP080"/>
        <s v="EMP069"/>
        <s v="EMP150"/>
        <s v="EMP028"/>
        <s v="EMP087"/>
        <s v="EMP119"/>
        <s v="EMP042"/>
        <s v="EMP005"/>
        <s v="EMP033"/>
        <s v="EMP061"/>
        <s v="EMP102"/>
        <s v="EMP067"/>
        <s v="EMP017"/>
        <s v="EMP123"/>
        <s v="EMP011"/>
        <s v="EMP091"/>
        <s v="EMP145"/>
        <s v="EMP001"/>
        <s v="EMP113"/>
        <s v="EMP065"/>
        <s v="EMP045"/>
        <s v="EMP083"/>
        <s v="EMP029"/>
        <s v="EMP041"/>
        <s v="EMP026"/>
        <s v="EMP024"/>
        <s v="EMP111"/>
        <s v="EMP040"/>
        <s v="EMP086"/>
        <s v="EMP124"/>
        <s v="EMP132"/>
        <s v="EMP048"/>
        <s v="EMP114"/>
        <s v="EMP062"/>
        <s v="EMP074"/>
        <s v="EMP034"/>
        <s v="EMP105"/>
        <s v="EMP118"/>
        <s v="EMP063"/>
        <s v="EMP094"/>
        <s v="EMP097"/>
        <s v="EMP054"/>
        <s v="EMP006"/>
        <s v="EMP110"/>
        <s v="EMP147"/>
        <s v="EMP050"/>
        <s v="EMP036"/>
        <s v="EMP081"/>
        <s v="EMP078"/>
        <s v="EMP035"/>
        <s v="EMP047"/>
        <s v="EMP008"/>
        <s v="EMP044"/>
        <s v="EMP071"/>
        <s v="EMP115"/>
        <s v="EMP092"/>
        <s v="EMP084"/>
        <s v="EMP142"/>
        <s v="EMP143"/>
        <s v="EMP090"/>
        <s v="EMP009"/>
        <s v="EMP014"/>
        <s v="EMP060"/>
        <s v="EMP135"/>
        <s v="EMP004"/>
        <s v="EMP018"/>
        <s v="EMP039"/>
        <s v="EMP073"/>
        <s v="EMP138"/>
        <s v="EMP007"/>
        <s v="EMP144"/>
        <s v="EMP101"/>
        <s v="EMP003"/>
        <s v="EMP121"/>
        <s v="EMP064"/>
        <s v="EMP116"/>
        <s v="EMP055"/>
        <s v="EMP108"/>
        <s v="EMP051"/>
        <s v="EMP059"/>
        <s v="EMP049"/>
        <s v="EMP089"/>
        <s v="EMP022"/>
        <s v="EMP058"/>
        <s v="EMP130"/>
        <s v="EMP038"/>
        <s v="EMP148"/>
        <s v="EMP002"/>
        <s v="EMP053"/>
        <s v="EMP131"/>
        <s v="EMP104"/>
        <s v="EMP100"/>
        <s v="EMP117"/>
        <s v="EMP088"/>
        <s v="EMP075"/>
        <s v="EMP122"/>
      </sharedItems>
    </cacheField>
    <cacheField name="Full Name" numFmtId="49">
      <sharedItems count="109">
        <s v="Emily Brown"/>
        <s v="Richard Hernandez"/>
        <s v="Emily Gonzalez"/>
        <s v="John Martinez"/>
        <s v="Thomas Smith"/>
        <s v="Emily Johnson"/>
        <s v="John Wilson"/>
        <s v="Jessica Smith"/>
        <s v="Rodriguez Rodriguez"/>
        <s v="Michael Martinez"/>
        <s v="Emily Miller"/>
        <s v="Emily Hernandez"/>
        <s v="Jane Williams"/>
        <s v="Jane Miller"/>
        <s v="Robert Jones"/>
        <s v="Thomas Rodriguez"/>
        <s v="Emily Davis"/>
        <s v="James Martinez"/>
        <s v="Ashley Lopez"/>
        <s v="Amanda Gonzalez"/>
        <s v="Michael Hernandez"/>
        <s v="Michael Rodriguez"/>
        <s v="Jessica Johnson"/>
        <s v="Ashley Williams"/>
        <s v="Williams Williams"/>
        <s v="Michael Wilson"/>
        <s v="John Rodriguez"/>
        <s v="Thomas Hernandez"/>
        <s v="Michael Johnson"/>
        <s v="Sarah Brown"/>
        <s v="Jane Martinez"/>
        <s v="Emily Jones"/>
        <s v="Brown Brown"/>
        <s v="Melissa Brown"/>
        <s v="Michael Smith"/>
        <s v="Sarah Miller"/>
        <s v="Emily Wilson"/>
        <s v="David Hernandez"/>
        <s v="James Smith"/>
        <s v="Sarah Williams"/>
        <s v="Amanda Lopez"/>
        <s v="Thomas Lopez"/>
        <s v="Melissa Johnson"/>
        <s v="Amanda Johnson"/>
        <s v="John Davis"/>
        <s v="James Johnson"/>
        <s v="Jane Davis"/>
        <s v="Richard Davis"/>
        <s v="Emily Garcia"/>
        <s v="Jane Anderson"/>
        <s v="Thomas Garcia"/>
        <s v="David Martinez"/>
        <s v="Michael Anderson"/>
        <s v="Robert Johnson"/>
        <s v="Robert Miller"/>
        <s v="Thomas Davis"/>
        <s v="Thomas Jones"/>
        <s v="Michael Miller"/>
        <s v="Richard Gonzalez"/>
        <s v="Melissa Williams"/>
        <s v="William Garcia"/>
        <s v="John Gonzalez"/>
        <s v="James Gonzalez"/>
        <s v="Jane Gonzalez"/>
        <s v="David Wilson"/>
        <s v="Jane Rodriguez"/>
        <s v="Jessica Garcia"/>
        <s v="Richard Smith"/>
        <s v="Melissa Wilson"/>
        <s v="Thomas Williams"/>
        <s v="David Williams"/>
        <s v="John Johnson"/>
        <s v="Melissa Anderson"/>
        <s v="William Gonzalez"/>
        <s v="Jessica Anderson"/>
        <s v="Thomas Miller"/>
        <s v="Smith Smith"/>
        <s v="Jane Johnson"/>
        <s v="John Jones"/>
        <s v="Jane Lopez"/>
        <s v="Melissa Gonzalez"/>
        <s v="William Davis"/>
        <s v="John Smith"/>
        <s v="William Williams"/>
        <s v="James Jones"/>
        <s v="Jessica Gonzalez"/>
        <s v="Amanda Brown"/>
        <s v="Robert Martinez"/>
        <s v="David Rodriguez"/>
        <s v="James Rodriguez"/>
        <s v="Sarah Rodriguez"/>
        <s v="Sarah Wilson"/>
        <s v="Robert Williams"/>
        <s v="Melissa Rodriguez"/>
        <s v="William Jones"/>
        <s v="David Anderson"/>
        <s v="Sarah Smith"/>
        <s v="Melissa Hernandez"/>
        <s v="Jane Garcia"/>
        <s v="David Davis"/>
        <s v="James Wilson"/>
        <s v="Richard Johnson"/>
        <s v="Richard Williams"/>
        <s v="John Hernandez"/>
        <s v="Sarah Gonzalez"/>
        <s v="Jones Jones"/>
        <s v="William Rodriguez"/>
        <s v="Melissa Miller"/>
        <s v="Emily Martinez"/>
      </sharedItems>
    </cacheField>
    <cacheField name="Dept Code" numFmtId="49">
      <sharedItems count="6">
        <s v="IT02"/>
        <s v="MKT04"/>
        <s v="FIN03"/>
        <s v="OPS06"/>
        <s v="SAL05"/>
        <s v="HR01"/>
      </sharedItems>
    </cacheField>
    <cacheField name="Department" numFmtId="49">
      <sharedItems count="6">
        <s v="Information Technology"/>
        <s v="Marketing"/>
        <s v="Finance"/>
        <s v="Operations"/>
        <s v="Sales"/>
        <s v="Human Resources"/>
      </sharedItems>
    </cacheField>
    <cacheField name="Hire Date" numFmtId="165">
      <sharedItems containsSemiMixedTypes="0" containsNonDate="0" containsDate="1" containsString="0" minDate="2015-01-04T00:00:00" maxDate="2023-12-13T00:00:00" count="147">
        <d v="2017-12-24T00:00:00"/>
        <d v="2022-04-08T00:00:00"/>
        <d v="2016-03-02T00:00:00"/>
        <d v="2023-07-03T00:00:00"/>
        <d v="2023-02-20T00:00:00"/>
        <d v="2020-03-02T00:00:00"/>
        <d v="2023-12-12T00:00:00"/>
        <d v="2020-12-09T00:00:00"/>
        <d v="2018-01-07T00:00:00"/>
        <d v="2016-11-02T00:00:00"/>
        <d v="2020-03-21T00:00:00"/>
        <d v="2016-02-25T00:00:00"/>
        <d v="2021-06-17T00:00:00"/>
        <d v="2020-06-19T00:00:00"/>
        <d v="2019-12-21T00:00:00"/>
        <d v="2023-08-31T00:00:00"/>
        <d v="2015-11-29T00:00:00"/>
        <d v="2017-06-13T00:00:00"/>
        <d v="2018-05-15T00:00:00"/>
        <d v="2016-07-24T00:00:00"/>
        <d v="2017-12-07T00:00:00"/>
        <d v="2021-06-06T00:00:00"/>
        <d v="2022-09-11T00:00:00"/>
        <d v="2016-07-14T00:00:00"/>
        <d v="2022-06-16T00:00:00"/>
        <d v="2023-07-27T00:00:00"/>
        <d v="2019-09-24T00:00:00"/>
        <d v="2022-07-23T00:00:00"/>
        <d v="2018-05-13T00:00:00"/>
        <d v="2015-07-17T00:00:00"/>
        <d v="2015-08-05T00:00:00"/>
        <d v="2023-09-26T00:00:00"/>
        <d v="2019-06-10T00:00:00"/>
        <d v="2022-01-17T00:00:00"/>
        <d v="2017-07-03T00:00:00"/>
        <d v="2015-09-01T00:00:00"/>
        <d v="2022-08-03T00:00:00"/>
        <d v="2022-06-29T00:00:00"/>
        <d v="2020-04-28T00:00:00"/>
        <d v="2017-09-09T00:00:00"/>
        <d v="2018-03-22T00:00:00"/>
        <d v="2020-05-07T00:00:00"/>
        <d v="2019-03-25T00:00:00"/>
        <d v="2019-08-09T00:00:00"/>
        <d v="2016-10-04T00:00:00"/>
        <d v="2019-07-10T00:00:00"/>
        <d v="2021-08-29T00:00:00"/>
        <d v="2017-01-26T00:00:00"/>
        <d v="2020-05-30T00:00:00"/>
        <d v="2022-02-20T00:00:00"/>
        <d v="2016-09-15T00:00:00"/>
        <d v="2019-10-07T00:00:00"/>
        <d v="2018-12-30T00:00:00"/>
        <d v="2020-12-24T00:00:00"/>
        <d v="2023-07-05T00:00:00"/>
        <d v="2020-11-13T00:00:00"/>
        <d v="2018-02-07T00:00:00"/>
        <d v="2023-11-25T00:00:00"/>
        <d v="2023-10-18T00:00:00"/>
        <d v="2020-09-05T00:00:00"/>
        <d v="2017-03-06T00:00:00"/>
        <d v="2015-04-28T00:00:00"/>
        <d v="2017-04-13T00:00:00"/>
        <d v="2022-09-23T00:00:00"/>
        <d v="2016-11-11T00:00:00"/>
        <d v="2017-03-24T00:00:00"/>
        <d v="2019-05-05T00:00:00"/>
        <d v="2021-07-25T00:00:00"/>
        <d v="2017-09-30T00:00:00"/>
        <d v="2015-07-07T00:00:00"/>
        <d v="2018-07-02T00:00:00"/>
        <d v="2022-09-15T00:00:00"/>
        <d v="2015-09-02T00:00:00"/>
        <d v="2016-10-11T00:00:00"/>
        <d v="2019-04-20T00:00:00"/>
        <d v="2017-02-19T00:00:00"/>
        <d v="2021-09-07T00:00:00"/>
        <d v="2019-05-14T00:00:00"/>
        <d v="2015-11-22T00:00:00"/>
        <d v="2018-09-29T00:00:00"/>
        <d v="2023-09-02T00:00:00"/>
        <d v="2022-07-17T00:00:00"/>
        <d v="2021-02-07T00:00:00"/>
        <d v="2023-10-04T00:00:00"/>
        <d v="2020-08-30T00:00:00"/>
        <d v="2021-08-14T00:00:00"/>
        <d v="2019-11-27T00:00:00"/>
        <d v="2017-05-25T00:00:00"/>
        <d v="2018-12-02T00:00:00"/>
        <d v="2019-06-23T00:00:00"/>
        <d v="2015-10-27T00:00:00"/>
        <d v="2018-06-19T00:00:00"/>
        <d v="2018-01-12T00:00:00"/>
        <d v="2015-01-04T00:00:00"/>
        <d v="2018-12-05T00:00:00"/>
        <d v="2021-10-13T00:00:00"/>
        <d v="2020-09-07T00:00:00"/>
        <d v="2019-03-08T00:00:00"/>
        <d v="2015-03-11T00:00:00"/>
        <d v="2023-05-09T00:00:00"/>
        <d v="2018-01-22T00:00:00"/>
        <d v="2020-02-18T00:00:00"/>
        <d v="2016-05-22T00:00:00"/>
        <d v="2021-06-02T00:00:00"/>
        <d v="2021-07-17T00:00:00"/>
        <d v="2016-11-13T00:00:00"/>
        <d v="2019-02-17T00:00:00"/>
        <d v="2016-09-12T00:00:00"/>
        <d v="2021-08-13T00:00:00"/>
        <d v="2020-06-14T00:00:00"/>
        <d v="2022-07-05T00:00:00"/>
        <d v="2016-07-10T00:00:00"/>
        <d v="2022-04-23T00:00:00"/>
        <d v="2017-05-10T00:00:00"/>
        <d v="2020-05-20T00:00:00"/>
        <d v="2023-04-20T00:00:00"/>
        <d v="2021-10-31T00:00:00"/>
        <d v="2021-10-24T00:00:00"/>
        <d v="2017-08-09T00:00:00"/>
        <d v="2023-01-04T00:00:00"/>
        <d v="2020-08-10T00:00:00"/>
        <d v="2022-04-02T00:00:00"/>
        <d v="2018-03-24T00:00:00"/>
        <d v="2018-07-24T00:00:00"/>
        <d v="2018-07-20T00:00:00"/>
        <d v="2016-03-04T00:00:00"/>
        <d v="2022-03-23T00:00:00"/>
        <d v="2017-07-28T00:00:00"/>
        <d v="2023-05-11T00:00:00"/>
        <d v="2022-03-19T00:00:00"/>
        <d v="2017-12-22T00:00:00"/>
        <d v="2018-09-17T00:00:00"/>
        <d v="2021-06-28T00:00:00"/>
        <d v="2017-10-03T00:00:00"/>
        <d v="2015-10-22T00:00:00"/>
        <d v="2018-06-06T00:00:00"/>
        <d v="2017-07-16T00:00:00"/>
        <d v="2015-06-20T00:00:00"/>
        <d v="2019-05-24T00:00:00"/>
        <d v="2020-02-26T00:00:00"/>
        <d v="2023-03-06T00:00:00"/>
        <d v="2019-01-12T00:00:00"/>
        <d v="2023-04-21T00:00:00"/>
        <d v="2016-05-29T00:00:00"/>
        <d v="2022-05-30T00:00:00"/>
        <d v="2016-11-03T00:00:00"/>
        <d v="2022-10-14T00:00:00"/>
      </sharedItems>
      <fieldGroup par="15" base="4">
        <rangePr groupBy="months" startDate="2015-01-04T00:00:00" endDate="2023-12-13T00:00:00"/>
        <groupItems count="14">
          <s v="&lt;04/01/2015"/>
          <s v="Jan"/>
          <s v="Feb"/>
          <s v="Mar"/>
          <s v="Apr"/>
          <s v="May"/>
          <s v="Jun"/>
          <s v="Jul"/>
          <s v="Aug"/>
          <s v="Sep"/>
          <s v="Oct"/>
          <s v="Nov"/>
          <s v="Dec"/>
          <s v="&gt;13/12/2023"/>
        </groupItems>
      </fieldGroup>
    </cacheField>
    <cacheField name="Salary" numFmtId="166">
      <sharedItems containsSemiMixedTypes="0" containsString="0" containsNumber="1" minValue="45196" maxValue="118947" count="131">
        <n v="50361"/>
        <n v="112673"/>
        <n v="114425"/>
        <n v="103831"/>
        <n v="73785"/>
        <n v="115882"/>
        <n v="59980"/>
        <n v="68728"/>
        <n v="102139"/>
        <n v="94998"/>
        <n v="118635"/>
        <n v="76918"/>
        <n v="61408"/>
        <n v="99990"/>
        <n v="80385"/>
        <n v="65290"/>
        <n v="105765"/>
        <n v="102921"/>
        <n v="73984"/>
        <n v="83603.930769230763"/>
        <n v="118527"/>
        <n v="107871"/>
        <n v="93956"/>
        <n v="100851"/>
        <n v="68655"/>
        <n v="81205"/>
        <n v="77610"/>
        <n v="50873"/>
        <n v="85312"/>
        <n v="97055"/>
        <n v="66069"/>
        <n v="90157"/>
        <n v="59899"/>
        <n v="113389"/>
        <n v="102691"/>
        <n v="111845"/>
        <n v="69219"/>
        <n v="57514"/>
        <n v="86245"/>
        <n v="52407"/>
        <n v="66606"/>
        <n v="81896"/>
        <n v="78402"/>
        <n v="105498"/>
        <n v="91749"/>
        <n v="99935"/>
        <n v="83531"/>
        <n v="75023"/>
        <n v="93290"/>
        <n v="115527"/>
        <n v="55920"/>
        <n v="80189"/>
        <n v="118947"/>
        <n v="91655"/>
        <n v="49435"/>
        <n v="110381"/>
        <n v="114748"/>
        <n v="63302"/>
        <n v="75519"/>
        <n v="103891"/>
        <n v="50936"/>
        <n v="111240"/>
        <n v="51567"/>
        <n v="55270"/>
        <n v="65235"/>
        <n v="48823"/>
        <n v="45196"/>
        <n v="86246"/>
        <n v="70359"/>
        <n v="86480"/>
        <n v="47694"/>
        <n v="83724"/>
        <n v="98299"/>
        <n v="52287"/>
        <n v="82633"/>
        <n v="46508"/>
        <n v="86232"/>
        <n v="77545"/>
        <n v="68683"/>
        <n v="83932"/>
        <n v="56073"/>
        <n v="88056"/>
        <n v="67414"/>
        <n v="115288"/>
        <n v="80140"/>
        <n v="73087"/>
        <n v="95292"/>
        <n v="101750"/>
        <n v="82992"/>
        <n v="49942"/>
        <n v="89060"/>
        <n v="53786"/>
        <n v="81167"/>
        <n v="66688"/>
        <n v="91672"/>
        <n v="77737"/>
        <n v="95686"/>
        <n v="114681"/>
        <n v="109121"/>
        <n v="112791"/>
        <n v="118008"/>
        <n v="74370"/>
        <n v="77819"/>
        <n v="48748"/>
        <n v="101997"/>
        <n v="115260"/>
        <n v="60623"/>
        <n v="68092"/>
        <n v="88155"/>
        <n v="107903"/>
        <n v="62818"/>
        <n v="85151"/>
        <n v="46390"/>
        <n v="111920"/>
        <n v="115618"/>
        <n v="110618"/>
        <n v="108395"/>
        <n v="88005"/>
        <n v="83007"/>
        <n v="61547"/>
        <n v="50399"/>
        <n v="52720"/>
        <n v="65065"/>
        <n v="108119"/>
        <n v="106896"/>
        <n v="112887"/>
        <n v="85457"/>
        <n v="62798"/>
        <n v="47794"/>
        <n v="93094"/>
        <n v="118634"/>
      </sharedItems>
    </cacheField>
    <cacheField name="Average Salary" numFmtId="0">
      <sharedItems containsString="0" containsBlank="1" containsNumber="1" minValue="83603.930769230807" maxValue="83603.930769230807" count="2">
        <n v="83603.930769230807"/>
        <m/>
      </sharedItems>
    </cacheField>
    <cacheField name="Perf_Score" numFmtId="1">
      <sharedItems containsSemiMixedTypes="0" containsString="0" containsNumber="1" minValue="30" maxValue="98" count="41">
        <n v="52"/>
        <n v="68.077464788732399"/>
        <n v="54"/>
        <n v="70"/>
        <n v="40"/>
        <n v="49"/>
        <n v="45"/>
        <n v="79"/>
        <n v="58"/>
        <n v="62"/>
        <n v="48"/>
        <n v="68.077464788732385"/>
        <n v="88"/>
        <n v="77"/>
        <n v="91"/>
        <n v="36"/>
        <n v="72"/>
        <n v="87"/>
        <n v="71"/>
        <n v="82"/>
        <n v="83"/>
        <n v="38"/>
        <n v="69"/>
        <n v="76"/>
        <n v="78"/>
        <n v="93"/>
        <n v="68"/>
        <n v="42"/>
        <n v="34"/>
        <n v="35"/>
        <n v="95"/>
        <n v="90"/>
        <n v="92"/>
        <n v="98"/>
        <n v="94"/>
        <n v="57"/>
        <n v="96"/>
        <n v="59"/>
        <n v="30"/>
        <n v="73"/>
        <n v="74"/>
      </sharedItems>
    </cacheField>
    <cacheField name="Aveage score" numFmtId="1">
      <sharedItems containsString="0" containsBlank="1" containsNumber="1" minValue="67.647511737089076" maxValue="67.647511737089076" count="2">
        <n v="67.647511737089076"/>
        <m/>
      </sharedItems>
    </cacheField>
    <cacheField name="Employment Status" numFmtId="49">
      <sharedItems count="3">
        <s v="Active"/>
        <s v="Left"/>
        <s v="Resigned"/>
      </sharedItems>
    </cacheField>
    <cacheField name="Years of Service" numFmtId="1">
      <sharedItems containsSemiMixedTypes="0" containsString="0" containsNumber="1" containsInteger="1" minValue="2" maxValue="11" count="10">
        <n v="8"/>
        <n v="4"/>
        <n v="10"/>
        <n v="3"/>
        <n v="6"/>
        <n v="2"/>
        <n v="5"/>
        <n v="9"/>
        <n v="7"/>
        <n v="11"/>
      </sharedItems>
    </cacheField>
    <cacheField name="Performance Band" numFmtId="49">
      <sharedItems count="5">
        <s v="Developing"/>
        <s v="Needs Improvement"/>
        <s v="Achieving"/>
        <s v="Exceeding"/>
        <s v="Outstanding"/>
      </sharedItems>
    </cacheField>
    <cacheField name="Eligible Bonus Percentage" numFmtId="9">
      <sharedItems containsSemiMixedTypes="0" containsString="0" containsNumber="1" minValue="0" maxValue="0.12" count="5">
        <n v="0.02"/>
        <n v="0"/>
        <n v="0.05"/>
        <n v="0.08"/>
        <n v="0.12"/>
      </sharedItems>
    </cacheField>
    <cacheField name="Eligible Bonus Amount" numFmtId="166">
      <sharedItems containsSemiMixedTypes="0" containsString="0" containsNumber="1" minValue="0" maxValue="10032.47169230769" count="122">
        <n v="1007.22"/>
        <n v="2253.46"/>
        <n v="2288.5"/>
        <n v="2076.62"/>
        <n v="0"/>
        <n v="1199.6000000000001"/>
        <n v="5106.9500000000007"/>
        <n v="1899.96"/>
        <n v="1538.3600000000001"/>
        <n v="1999.8"/>
        <n v="1607.7"/>
        <n v="1305.8"/>
        <n v="2115.3000000000002"/>
        <n v="2058.42"/>
        <n v="1479.68"/>
        <n v="1672.0786153846152"/>
        <n v="2370.54"/>
        <n v="2157.42"/>
        <n v="1879.1200000000001"/>
        <n v="2017.02"/>
        <n v="1373.1000000000001"/>
        <n v="1624.1000000000001"/>
        <n v="1552.2"/>
        <n v="1017.46"/>
        <n v="1706.24"/>
        <n v="1941.1000000000001"/>
        <n v="1321.38"/>
        <n v="1803.14"/>
        <n v="1197.98"/>
        <n v="2267.7800000000002"/>
        <n v="2053.8200000000002"/>
        <n v="2236.9"/>
        <n v="1384.38"/>
        <n v="1150.28"/>
        <n v="1724.9"/>
        <n v="1048.1400000000001"/>
        <n v="1332.1200000000001"/>
        <n v="1637.92"/>
        <n v="1568.04"/>
        <n v="2109.96"/>
        <n v="1834.98"/>
        <n v="1998.7"/>
        <n v="1670.6200000000001"/>
        <n v="1500.46"/>
        <n v="1865.8"/>
        <n v="2310.54"/>
        <n v="1118.4000000000001"/>
        <n v="1603.78"/>
        <n v="2378.94"/>
        <n v="1833.1000000000001"/>
        <n v="988.7"/>
        <n v="2207.62"/>
        <n v="2294.96"/>
        <n v="1266.04"/>
        <n v="1510.38"/>
        <n v="2077.8200000000002"/>
        <n v="1018.72"/>
        <n v="2224.8000000000002"/>
        <n v="1031.3399999999999"/>
        <n v="1105.4000000000001"/>
        <n v="1304.7"/>
        <n v="976.46"/>
        <n v="903.92000000000007"/>
        <n v="1724.92"/>
        <n v="1407.18"/>
        <n v="1729.6000000000001"/>
        <n v="953.88"/>
        <n v="1674.48"/>
        <n v="1965.98"/>
        <n v="1045.74"/>
        <n v="1652.66"/>
        <n v="930.16"/>
        <n v="1724.64"/>
        <n v="1550.9"/>
        <n v="1373.66"/>
        <n v="1678.64"/>
        <n v="1121.46"/>
        <n v="1761.1200000000001"/>
        <n v="1348.28"/>
        <n v="2305.7600000000002"/>
        <n v="1602.8"/>
        <n v="1461.74"/>
        <n v="1905.8400000000001"/>
        <n v="2035"/>
        <n v="1659.8400000000001"/>
        <n v="998.84"/>
        <n v="1781.2"/>
        <n v="1075.72"/>
        <n v="1623.3400000000001"/>
        <n v="7333.76"/>
        <n v="3886.8500000000004"/>
        <n v="7654.88"/>
        <n v="5456.05"/>
        <n v="9023.2800000000007"/>
        <n v="5900.4000000000005"/>
        <n v="3718.5"/>
        <n v="3890.9500000000003"/>
        <n v="2437.4"/>
        <n v="5763"/>
        <n v="4180.1965384615387"/>
        <n v="3031.15"/>
        <n v="5447.36"/>
        <n v="1763.1000000000001"/>
        <n v="3711.2000000000003"/>
        <n v="8953.6"/>
        <n v="8849.44"/>
        <n v="5419.75"/>
        <n v="1760.1000000000001"/>
        <n v="4150.3500000000004"/>
        <n v="1230.94"/>
        <n v="4031.92"/>
        <n v="1054.4000000000001"/>
        <n v="7807.7999999999993"/>
        <n v="6688.3144615384608"/>
        <n v="2162.38"/>
        <n v="10032.47169230769"/>
        <n v="2137.92"/>
        <n v="2257.7400000000002"/>
        <n v="4272.8500000000004"/>
        <n v="2389.7000000000003"/>
        <n v="4654.7"/>
        <n v="9490.7199999999993"/>
      </sharedItems>
    </cacheField>
    <cacheField name="Quarters" numFmtId="0" databaseField="0">
      <fieldGroup base="4">
        <rangePr groupBy="quarters" startDate="2015-01-04T00:00:00" endDate="2023-12-13T00:00:00"/>
        <groupItems count="6">
          <s v="&lt;04/01/2015"/>
          <s v="Qtr1"/>
          <s v="Qtr2"/>
          <s v="Qtr3"/>
          <s v="Qtr4"/>
          <s v="&gt;13/12/2023"/>
        </groupItems>
      </fieldGroup>
    </cacheField>
    <cacheField name="Years" numFmtId="0" databaseField="0">
      <fieldGroup base="4">
        <rangePr groupBy="years" startDate="2015-01-04T00:00:00" endDate="2023-12-13T00:00:00"/>
        <groupItems count="11">
          <s v="&lt;04/01/2015"/>
          <s v="2015"/>
          <s v="2016"/>
          <s v="2017"/>
          <s v="2018"/>
          <s v="2019"/>
          <s v="2020"/>
          <s v="2021"/>
          <s v="2022"/>
          <s v="2023"/>
          <s v="&gt;13/12/2023"/>
        </groupItems>
      </fieldGroup>
    </cacheField>
  </cacheFields>
  <extLst>
    <ext xmlns:x14="http://schemas.microsoft.com/office/spreadsheetml/2009/9/main" uri="{725AE2AE-9491-48be-B2B4-4EB974FC3084}">
      <x14:pivotCacheDefinition pivotCacheId="1771001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x v="0"/>
    <x v="0"/>
    <x v="0"/>
    <x v="0"/>
    <x v="0"/>
    <x v="0"/>
    <x v="0"/>
    <x v="0"/>
    <x v="0"/>
  </r>
  <r>
    <x v="1"/>
    <x v="1"/>
    <x v="1"/>
    <x v="1"/>
    <x v="1"/>
    <x v="1"/>
    <x v="1"/>
    <x v="1"/>
    <x v="1"/>
    <x v="0"/>
    <x v="1"/>
    <x v="0"/>
    <x v="0"/>
    <x v="1"/>
  </r>
  <r>
    <x v="2"/>
    <x v="2"/>
    <x v="0"/>
    <x v="0"/>
    <x v="2"/>
    <x v="2"/>
    <x v="1"/>
    <x v="2"/>
    <x v="1"/>
    <x v="1"/>
    <x v="2"/>
    <x v="0"/>
    <x v="0"/>
    <x v="2"/>
  </r>
  <r>
    <x v="3"/>
    <x v="3"/>
    <x v="2"/>
    <x v="2"/>
    <x v="3"/>
    <x v="3"/>
    <x v="1"/>
    <x v="3"/>
    <x v="1"/>
    <x v="0"/>
    <x v="3"/>
    <x v="0"/>
    <x v="0"/>
    <x v="3"/>
  </r>
  <r>
    <x v="4"/>
    <x v="4"/>
    <x v="0"/>
    <x v="0"/>
    <x v="4"/>
    <x v="4"/>
    <x v="1"/>
    <x v="4"/>
    <x v="1"/>
    <x v="1"/>
    <x v="3"/>
    <x v="1"/>
    <x v="1"/>
    <x v="4"/>
  </r>
  <r>
    <x v="5"/>
    <x v="5"/>
    <x v="3"/>
    <x v="3"/>
    <x v="5"/>
    <x v="5"/>
    <x v="1"/>
    <x v="5"/>
    <x v="1"/>
    <x v="0"/>
    <x v="4"/>
    <x v="1"/>
    <x v="1"/>
    <x v="4"/>
  </r>
  <r>
    <x v="6"/>
    <x v="6"/>
    <x v="3"/>
    <x v="3"/>
    <x v="6"/>
    <x v="6"/>
    <x v="1"/>
    <x v="3"/>
    <x v="1"/>
    <x v="1"/>
    <x v="5"/>
    <x v="0"/>
    <x v="0"/>
    <x v="5"/>
  </r>
  <r>
    <x v="7"/>
    <x v="7"/>
    <x v="3"/>
    <x v="3"/>
    <x v="7"/>
    <x v="7"/>
    <x v="1"/>
    <x v="6"/>
    <x v="1"/>
    <x v="0"/>
    <x v="6"/>
    <x v="1"/>
    <x v="1"/>
    <x v="4"/>
  </r>
  <r>
    <x v="8"/>
    <x v="8"/>
    <x v="2"/>
    <x v="2"/>
    <x v="8"/>
    <x v="8"/>
    <x v="1"/>
    <x v="7"/>
    <x v="1"/>
    <x v="0"/>
    <x v="0"/>
    <x v="2"/>
    <x v="2"/>
    <x v="6"/>
  </r>
  <r>
    <x v="9"/>
    <x v="9"/>
    <x v="4"/>
    <x v="4"/>
    <x v="9"/>
    <x v="9"/>
    <x v="1"/>
    <x v="8"/>
    <x v="1"/>
    <x v="0"/>
    <x v="7"/>
    <x v="0"/>
    <x v="0"/>
    <x v="7"/>
  </r>
  <r>
    <x v="10"/>
    <x v="10"/>
    <x v="4"/>
    <x v="4"/>
    <x v="10"/>
    <x v="10"/>
    <x v="1"/>
    <x v="5"/>
    <x v="1"/>
    <x v="0"/>
    <x v="4"/>
    <x v="1"/>
    <x v="1"/>
    <x v="4"/>
  </r>
  <r>
    <x v="11"/>
    <x v="11"/>
    <x v="0"/>
    <x v="0"/>
    <x v="11"/>
    <x v="11"/>
    <x v="1"/>
    <x v="9"/>
    <x v="1"/>
    <x v="0"/>
    <x v="2"/>
    <x v="0"/>
    <x v="0"/>
    <x v="8"/>
  </r>
  <r>
    <x v="12"/>
    <x v="12"/>
    <x v="1"/>
    <x v="1"/>
    <x v="12"/>
    <x v="12"/>
    <x v="1"/>
    <x v="10"/>
    <x v="1"/>
    <x v="0"/>
    <x v="6"/>
    <x v="1"/>
    <x v="1"/>
    <x v="4"/>
  </r>
  <r>
    <x v="13"/>
    <x v="13"/>
    <x v="1"/>
    <x v="1"/>
    <x v="13"/>
    <x v="13"/>
    <x v="1"/>
    <x v="2"/>
    <x v="1"/>
    <x v="0"/>
    <x v="4"/>
    <x v="0"/>
    <x v="0"/>
    <x v="9"/>
  </r>
  <r>
    <x v="14"/>
    <x v="14"/>
    <x v="1"/>
    <x v="1"/>
    <x v="14"/>
    <x v="14"/>
    <x v="1"/>
    <x v="11"/>
    <x v="1"/>
    <x v="0"/>
    <x v="4"/>
    <x v="0"/>
    <x v="0"/>
    <x v="10"/>
  </r>
  <r>
    <x v="15"/>
    <x v="15"/>
    <x v="4"/>
    <x v="4"/>
    <x v="15"/>
    <x v="15"/>
    <x v="1"/>
    <x v="11"/>
    <x v="1"/>
    <x v="0"/>
    <x v="5"/>
    <x v="0"/>
    <x v="0"/>
    <x v="11"/>
  </r>
  <r>
    <x v="16"/>
    <x v="16"/>
    <x v="0"/>
    <x v="0"/>
    <x v="16"/>
    <x v="16"/>
    <x v="1"/>
    <x v="11"/>
    <x v="1"/>
    <x v="0"/>
    <x v="2"/>
    <x v="0"/>
    <x v="0"/>
    <x v="12"/>
  </r>
  <r>
    <x v="17"/>
    <x v="17"/>
    <x v="4"/>
    <x v="4"/>
    <x v="17"/>
    <x v="17"/>
    <x v="1"/>
    <x v="11"/>
    <x v="1"/>
    <x v="0"/>
    <x v="7"/>
    <x v="0"/>
    <x v="0"/>
    <x v="13"/>
  </r>
  <r>
    <x v="11"/>
    <x v="18"/>
    <x v="1"/>
    <x v="1"/>
    <x v="18"/>
    <x v="18"/>
    <x v="1"/>
    <x v="11"/>
    <x v="1"/>
    <x v="0"/>
    <x v="0"/>
    <x v="0"/>
    <x v="0"/>
    <x v="14"/>
  </r>
  <r>
    <x v="18"/>
    <x v="19"/>
    <x v="0"/>
    <x v="0"/>
    <x v="19"/>
    <x v="19"/>
    <x v="1"/>
    <x v="11"/>
    <x v="1"/>
    <x v="0"/>
    <x v="7"/>
    <x v="0"/>
    <x v="0"/>
    <x v="15"/>
  </r>
  <r>
    <x v="19"/>
    <x v="20"/>
    <x v="2"/>
    <x v="2"/>
    <x v="20"/>
    <x v="20"/>
    <x v="1"/>
    <x v="11"/>
    <x v="1"/>
    <x v="0"/>
    <x v="0"/>
    <x v="0"/>
    <x v="0"/>
    <x v="16"/>
  </r>
  <r>
    <x v="20"/>
    <x v="1"/>
    <x v="1"/>
    <x v="1"/>
    <x v="21"/>
    <x v="21"/>
    <x v="1"/>
    <x v="11"/>
    <x v="1"/>
    <x v="0"/>
    <x v="6"/>
    <x v="0"/>
    <x v="0"/>
    <x v="17"/>
  </r>
  <r>
    <x v="21"/>
    <x v="21"/>
    <x v="0"/>
    <x v="0"/>
    <x v="22"/>
    <x v="22"/>
    <x v="1"/>
    <x v="11"/>
    <x v="1"/>
    <x v="1"/>
    <x v="3"/>
    <x v="0"/>
    <x v="0"/>
    <x v="18"/>
  </r>
  <r>
    <x v="22"/>
    <x v="22"/>
    <x v="2"/>
    <x v="2"/>
    <x v="23"/>
    <x v="23"/>
    <x v="1"/>
    <x v="11"/>
    <x v="1"/>
    <x v="0"/>
    <x v="7"/>
    <x v="0"/>
    <x v="0"/>
    <x v="19"/>
  </r>
  <r>
    <x v="23"/>
    <x v="23"/>
    <x v="4"/>
    <x v="4"/>
    <x v="24"/>
    <x v="24"/>
    <x v="1"/>
    <x v="11"/>
    <x v="1"/>
    <x v="0"/>
    <x v="1"/>
    <x v="0"/>
    <x v="0"/>
    <x v="20"/>
  </r>
  <r>
    <x v="24"/>
    <x v="24"/>
    <x v="4"/>
    <x v="4"/>
    <x v="25"/>
    <x v="25"/>
    <x v="1"/>
    <x v="11"/>
    <x v="1"/>
    <x v="0"/>
    <x v="5"/>
    <x v="0"/>
    <x v="0"/>
    <x v="21"/>
  </r>
  <r>
    <x v="25"/>
    <x v="6"/>
    <x v="4"/>
    <x v="4"/>
    <x v="26"/>
    <x v="26"/>
    <x v="1"/>
    <x v="11"/>
    <x v="1"/>
    <x v="0"/>
    <x v="4"/>
    <x v="0"/>
    <x v="0"/>
    <x v="22"/>
  </r>
  <r>
    <x v="26"/>
    <x v="15"/>
    <x v="0"/>
    <x v="0"/>
    <x v="27"/>
    <x v="27"/>
    <x v="1"/>
    <x v="11"/>
    <x v="1"/>
    <x v="0"/>
    <x v="3"/>
    <x v="0"/>
    <x v="0"/>
    <x v="23"/>
  </r>
  <r>
    <x v="27"/>
    <x v="25"/>
    <x v="2"/>
    <x v="2"/>
    <x v="28"/>
    <x v="28"/>
    <x v="1"/>
    <x v="11"/>
    <x v="1"/>
    <x v="0"/>
    <x v="0"/>
    <x v="0"/>
    <x v="0"/>
    <x v="24"/>
  </r>
  <r>
    <x v="28"/>
    <x v="26"/>
    <x v="4"/>
    <x v="4"/>
    <x v="29"/>
    <x v="19"/>
    <x v="1"/>
    <x v="11"/>
    <x v="1"/>
    <x v="0"/>
    <x v="2"/>
    <x v="0"/>
    <x v="0"/>
    <x v="15"/>
  </r>
  <r>
    <x v="29"/>
    <x v="27"/>
    <x v="3"/>
    <x v="3"/>
    <x v="30"/>
    <x v="29"/>
    <x v="1"/>
    <x v="11"/>
    <x v="1"/>
    <x v="0"/>
    <x v="2"/>
    <x v="0"/>
    <x v="0"/>
    <x v="25"/>
  </r>
  <r>
    <x v="30"/>
    <x v="28"/>
    <x v="0"/>
    <x v="0"/>
    <x v="31"/>
    <x v="30"/>
    <x v="1"/>
    <x v="11"/>
    <x v="1"/>
    <x v="0"/>
    <x v="5"/>
    <x v="0"/>
    <x v="0"/>
    <x v="26"/>
  </r>
  <r>
    <x v="31"/>
    <x v="29"/>
    <x v="0"/>
    <x v="0"/>
    <x v="32"/>
    <x v="31"/>
    <x v="1"/>
    <x v="11"/>
    <x v="1"/>
    <x v="0"/>
    <x v="8"/>
    <x v="0"/>
    <x v="0"/>
    <x v="27"/>
  </r>
  <r>
    <x v="32"/>
    <x v="30"/>
    <x v="5"/>
    <x v="5"/>
    <x v="33"/>
    <x v="32"/>
    <x v="1"/>
    <x v="11"/>
    <x v="1"/>
    <x v="0"/>
    <x v="1"/>
    <x v="0"/>
    <x v="0"/>
    <x v="28"/>
  </r>
  <r>
    <x v="33"/>
    <x v="31"/>
    <x v="2"/>
    <x v="2"/>
    <x v="34"/>
    <x v="33"/>
    <x v="1"/>
    <x v="11"/>
    <x v="1"/>
    <x v="0"/>
    <x v="7"/>
    <x v="0"/>
    <x v="0"/>
    <x v="29"/>
  </r>
  <r>
    <x v="34"/>
    <x v="32"/>
    <x v="0"/>
    <x v="0"/>
    <x v="35"/>
    <x v="34"/>
    <x v="1"/>
    <x v="11"/>
    <x v="1"/>
    <x v="0"/>
    <x v="2"/>
    <x v="0"/>
    <x v="0"/>
    <x v="30"/>
  </r>
  <r>
    <x v="35"/>
    <x v="6"/>
    <x v="3"/>
    <x v="3"/>
    <x v="36"/>
    <x v="35"/>
    <x v="1"/>
    <x v="11"/>
    <x v="1"/>
    <x v="0"/>
    <x v="3"/>
    <x v="0"/>
    <x v="0"/>
    <x v="31"/>
  </r>
  <r>
    <x v="36"/>
    <x v="33"/>
    <x v="4"/>
    <x v="4"/>
    <x v="37"/>
    <x v="36"/>
    <x v="1"/>
    <x v="11"/>
    <x v="1"/>
    <x v="0"/>
    <x v="1"/>
    <x v="0"/>
    <x v="0"/>
    <x v="32"/>
  </r>
  <r>
    <x v="37"/>
    <x v="34"/>
    <x v="2"/>
    <x v="2"/>
    <x v="38"/>
    <x v="19"/>
    <x v="1"/>
    <x v="11"/>
    <x v="1"/>
    <x v="1"/>
    <x v="4"/>
    <x v="0"/>
    <x v="0"/>
    <x v="15"/>
  </r>
  <r>
    <x v="38"/>
    <x v="35"/>
    <x v="3"/>
    <x v="3"/>
    <x v="39"/>
    <x v="37"/>
    <x v="1"/>
    <x v="11"/>
    <x v="1"/>
    <x v="0"/>
    <x v="0"/>
    <x v="0"/>
    <x v="0"/>
    <x v="33"/>
  </r>
  <r>
    <x v="39"/>
    <x v="36"/>
    <x v="4"/>
    <x v="4"/>
    <x v="40"/>
    <x v="38"/>
    <x v="1"/>
    <x v="11"/>
    <x v="1"/>
    <x v="1"/>
    <x v="0"/>
    <x v="0"/>
    <x v="0"/>
    <x v="34"/>
  </r>
  <r>
    <x v="40"/>
    <x v="37"/>
    <x v="4"/>
    <x v="4"/>
    <x v="41"/>
    <x v="39"/>
    <x v="1"/>
    <x v="11"/>
    <x v="1"/>
    <x v="0"/>
    <x v="4"/>
    <x v="0"/>
    <x v="0"/>
    <x v="35"/>
  </r>
  <r>
    <x v="41"/>
    <x v="38"/>
    <x v="3"/>
    <x v="3"/>
    <x v="42"/>
    <x v="40"/>
    <x v="1"/>
    <x v="11"/>
    <x v="1"/>
    <x v="2"/>
    <x v="8"/>
    <x v="0"/>
    <x v="0"/>
    <x v="36"/>
  </r>
  <r>
    <x v="42"/>
    <x v="39"/>
    <x v="0"/>
    <x v="0"/>
    <x v="43"/>
    <x v="41"/>
    <x v="1"/>
    <x v="11"/>
    <x v="1"/>
    <x v="2"/>
    <x v="4"/>
    <x v="0"/>
    <x v="0"/>
    <x v="37"/>
  </r>
  <r>
    <x v="43"/>
    <x v="40"/>
    <x v="4"/>
    <x v="4"/>
    <x v="23"/>
    <x v="42"/>
    <x v="1"/>
    <x v="11"/>
    <x v="1"/>
    <x v="0"/>
    <x v="7"/>
    <x v="0"/>
    <x v="0"/>
    <x v="38"/>
  </r>
  <r>
    <x v="44"/>
    <x v="41"/>
    <x v="3"/>
    <x v="3"/>
    <x v="44"/>
    <x v="43"/>
    <x v="1"/>
    <x v="11"/>
    <x v="1"/>
    <x v="0"/>
    <x v="7"/>
    <x v="0"/>
    <x v="0"/>
    <x v="39"/>
  </r>
  <r>
    <x v="45"/>
    <x v="42"/>
    <x v="1"/>
    <x v="1"/>
    <x v="45"/>
    <x v="44"/>
    <x v="1"/>
    <x v="11"/>
    <x v="1"/>
    <x v="1"/>
    <x v="4"/>
    <x v="0"/>
    <x v="0"/>
    <x v="40"/>
  </r>
  <r>
    <x v="46"/>
    <x v="43"/>
    <x v="3"/>
    <x v="3"/>
    <x v="46"/>
    <x v="45"/>
    <x v="1"/>
    <x v="11"/>
    <x v="1"/>
    <x v="2"/>
    <x v="1"/>
    <x v="0"/>
    <x v="0"/>
    <x v="41"/>
  </r>
  <r>
    <x v="47"/>
    <x v="44"/>
    <x v="0"/>
    <x v="0"/>
    <x v="47"/>
    <x v="46"/>
    <x v="1"/>
    <x v="11"/>
    <x v="1"/>
    <x v="1"/>
    <x v="7"/>
    <x v="0"/>
    <x v="0"/>
    <x v="42"/>
  </r>
  <r>
    <x v="48"/>
    <x v="45"/>
    <x v="1"/>
    <x v="1"/>
    <x v="48"/>
    <x v="47"/>
    <x v="1"/>
    <x v="11"/>
    <x v="1"/>
    <x v="0"/>
    <x v="4"/>
    <x v="0"/>
    <x v="0"/>
    <x v="43"/>
  </r>
  <r>
    <x v="49"/>
    <x v="46"/>
    <x v="5"/>
    <x v="5"/>
    <x v="49"/>
    <x v="48"/>
    <x v="1"/>
    <x v="11"/>
    <x v="1"/>
    <x v="0"/>
    <x v="1"/>
    <x v="0"/>
    <x v="0"/>
    <x v="44"/>
  </r>
  <r>
    <x v="50"/>
    <x v="47"/>
    <x v="3"/>
    <x v="3"/>
    <x v="50"/>
    <x v="49"/>
    <x v="1"/>
    <x v="11"/>
    <x v="1"/>
    <x v="2"/>
    <x v="7"/>
    <x v="0"/>
    <x v="0"/>
    <x v="45"/>
  </r>
  <r>
    <x v="51"/>
    <x v="15"/>
    <x v="2"/>
    <x v="2"/>
    <x v="51"/>
    <x v="50"/>
    <x v="1"/>
    <x v="11"/>
    <x v="1"/>
    <x v="0"/>
    <x v="4"/>
    <x v="0"/>
    <x v="0"/>
    <x v="46"/>
  </r>
  <r>
    <x v="52"/>
    <x v="5"/>
    <x v="4"/>
    <x v="4"/>
    <x v="52"/>
    <x v="51"/>
    <x v="1"/>
    <x v="11"/>
    <x v="1"/>
    <x v="0"/>
    <x v="8"/>
    <x v="0"/>
    <x v="0"/>
    <x v="47"/>
  </r>
  <r>
    <x v="53"/>
    <x v="48"/>
    <x v="5"/>
    <x v="5"/>
    <x v="53"/>
    <x v="52"/>
    <x v="1"/>
    <x v="11"/>
    <x v="1"/>
    <x v="0"/>
    <x v="6"/>
    <x v="0"/>
    <x v="0"/>
    <x v="48"/>
  </r>
  <r>
    <x v="54"/>
    <x v="49"/>
    <x v="0"/>
    <x v="0"/>
    <x v="54"/>
    <x v="19"/>
    <x v="1"/>
    <x v="11"/>
    <x v="1"/>
    <x v="0"/>
    <x v="3"/>
    <x v="0"/>
    <x v="0"/>
    <x v="15"/>
  </r>
  <r>
    <x v="55"/>
    <x v="50"/>
    <x v="3"/>
    <x v="3"/>
    <x v="55"/>
    <x v="19"/>
    <x v="1"/>
    <x v="11"/>
    <x v="1"/>
    <x v="0"/>
    <x v="6"/>
    <x v="0"/>
    <x v="0"/>
    <x v="15"/>
  </r>
  <r>
    <x v="56"/>
    <x v="51"/>
    <x v="5"/>
    <x v="5"/>
    <x v="56"/>
    <x v="53"/>
    <x v="1"/>
    <x v="11"/>
    <x v="1"/>
    <x v="0"/>
    <x v="0"/>
    <x v="0"/>
    <x v="0"/>
    <x v="49"/>
  </r>
  <r>
    <x v="57"/>
    <x v="0"/>
    <x v="0"/>
    <x v="0"/>
    <x v="57"/>
    <x v="54"/>
    <x v="1"/>
    <x v="11"/>
    <x v="1"/>
    <x v="1"/>
    <x v="5"/>
    <x v="0"/>
    <x v="0"/>
    <x v="50"/>
  </r>
  <r>
    <x v="58"/>
    <x v="36"/>
    <x v="4"/>
    <x v="4"/>
    <x v="58"/>
    <x v="55"/>
    <x v="1"/>
    <x v="11"/>
    <x v="1"/>
    <x v="0"/>
    <x v="5"/>
    <x v="0"/>
    <x v="0"/>
    <x v="51"/>
  </r>
  <r>
    <x v="59"/>
    <x v="52"/>
    <x v="5"/>
    <x v="5"/>
    <x v="59"/>
    <x v="56"/>
    <x v="1"/>
    <x v="11"/>
    <x v="1"/>
    <x v="0"/>
    <x v="6"/>
    <x v="0"/>
    <x v="0"/>
    <x v="52"/>
  </r>
  <r>
    <x v="60"/>
    <x v="53"/>
    <x v="3"/>
    <x v="3"/>
    <x v="60"/>
    <x v="57"/>
    <x v="1"/>
    <x v="11"/>
    <x v="1"/>
    <x v="0"/>
    <x v="7"/>
    <x v="0"/>
    <x v="0"/>
    <x v="53"/>
  </r>
  <r>
    <x v="61"/>
    <x v="54"/>
    <x v="0"/>
    <x v="0"/>
    <x v="61"/>
    <x v="58"/>
    <x v="1"/>
    <x v="11"/>
    <x v="1"/>
    <x v="0"/>
    <x v="9"/>
    <x v="0"/>
    <x v="0"/>
    <x v="54"/>
  </r>
  <r>
    <x v="62"/>
    <x v="46"/>
    <x v="2"/>
    <x v="2"/>
    <x v="62"/>
    <x v="59"/>
    <x v="1"/>
    <x v="11"/>
    <x v="1"/>
    <x v="0"/>
    <x v="7"/>
    <x v="0"/>
    <x v="0"/>
    <x v="55"/>
  </r>
  <r>
    <x v="63"/>
    <x v="55"/>
    <x v="3"/>
    <x v="3"/>
    <x v="63"/>
    <x v="19"/>
    <x v="1"/>
    <x v="11"/>
    <x v="1"/>
    <x v="1"/>
    <x v="3"/>
    <x v="0"/>
    <x v="0"/>
    <x v="15"/>
  </r>
  <r>
    <x v="64"/>
    <x v="56"/>
    <x v="1"/>
    <x v="1"/>
    <x v="64"/>
    <x v="60"/>
    <x v="1"/>
    <x v="11"/>
    <x v="1"/>
    <x v="0"/>
    <x v="7"/>
    <x v="0"/>
    <x v="0"/>
    <x v="56"/>
  </r>
  <r>
    <x v="65"/>
    <x v="57"/>
    <x v="4"/>
    <x v="4"/>
    <x v="65"/>
    <x v="61"/>
    <x v="1"/>
    <x v="11"/>
    <x v="1"/>
    <x v="0"/>
    <x v="7"/>
    <x v="0"/>
    <x v="0"/>
    <x v="57"/>
  </r>
  <r>
    <x v="66"/>
    <x v="58"/>
    <x v="5"/>
    <x v="5"/>
    <x v="66"/>
    <x v="62"/>
    <x v="1"/>
    <x v="11"/>
    <x v="1"/>
    <x v="2"/>
    <x v="8"/>
    <x v="0"/>
    <x v="0"/>
    <x v="58"/>
  </r>
  <r>
    <x v="67"/>
    <x v="59"/>
    <x v="5"/>
    <x v="5"/>
    <x v="67"/>
    <x v="19"/>
    <x v="1"/>
    <x v="11"/>
    <x v="1"/>
    <x v="0"/>
    <x v="1"/>
    <x v="0"/>
    <x v="0"/>
    <x v="15"/>
  </r>
  <r>
    <x v="68"/>
    <x v="54"/>
    <x v="5"/>
    <x v="5"/>
    <x v="68"/>
    <x v="63"/>
    <x v="1"/>
    <x v="11"/>
    <x v="1"/>
    <x v="0"/>
    <x v="0"/>
    <x v="0"/>
    <x v="0"/>
    <x v="59"/>
  </r>
  <r>
    <x v="69"/>
    <x v="60"/>
    <x v="4"/>
    <x v="4"/>
    <x v="69"/>
    <x v="64"/>
    <x v="1"/>
    <x v="11"/>
    <x v="1"/>
    <x v="0"/>
    <x v="2"/>
    <x v="0"/>
    <x v="0"/>
    <x v="60"/>
  </r>
  <r>
    <x v="70"/>
    <x v="61"/>
    <x v="4"/>
    <x v="4"/>
    <x v="70"/>
    <x v="19"/>
    <x v="1"/>
    <x v="11"/>
    <x v="1"/>
    <x v="1"/>
    <x v="0"/>
    <x v="0"/>
    <x v="0"/>
    <x v="15"/>
  </r>
  <r>
    <x v="71"/>
    <x v="62"/>
    <x v="4"/>
    <x v="4"/>
    <x v="71"/>
    <x v="19"/>
    <x v="1"/>
    <x v="11"/>
    <x v="1"/>
    <x v="1"/>
    <x v="3"/>
    <x v="0"/>
    <x v="0"/>
    <x v="15"/>
  </r>
  <r>
    <x v="72"/>
    <x v="63"/>
    <x v="4"/>
    <x v="4"/>
    <x v="72"/>
    <x v="19"/>
    <x v="1"/>
    <x v="11"/>
    <x v="1"/>
    <x v="0"/>
    <x v="2"/>
    <x v="0"/>
    <x v="0"/>
    <x v="15"/>
  </r>
  <r>
    <x v="61"/>
    <x v="64"/>
    <x v="3"/>
    <x v="3"/>
    <x v="73"/>
    <x v="65"/>
    <x v="1"/>
    <x v="11"/>
    <x v="1"/>
    <x v="0"/>
    <x v="7"/>
    <x v="0"/>
    <x v="0"/>
    <x v="61"/>
  </r>
  <r>
    <x v="73"/>
    <x v="63"/>
    <x v="2"/>
    <x v="2"/>
    <x v="74"/>
    <x v="66"/>
    <x v="1"/>
    <x v="11"/>
    <x v="1"/>
    <x v="1"/>
    <x v="8"/>
    <x v="0"/>
    <x v="0"/>
    <x v="62"/>
  </r>
  <r>
    <x v="74"/>
    <x v="65"/>
    <x v="0"/>
    <x v="0"/>
    <x v="75"/>
    <x v="67"/>
    <x v="1"/>
    <x v="11"/>
    <x v="1"/>
    <x v="0"/>
    <x v="7"/>
    <x v="0"/>
    <x v="0"/>
    <x v="63"/>
  </r>
  <r>
    <x v="75"/>
    <x v="10"/>
    <x v="4"/>
    <x v="4"/>
    <x v="76"/>
    <x v="68"/>
    <x v="1"/>
    <x v="11"/>
    <x v="1"/>
    <x v="1"/>
    <x v="1"/>
    <x v="0"/>
    <x v="0"/>
    <x v="64"/>
  </r>
  <r>
    <x v="76"/>
    <x v="35"/>
    <x v="1"/>
    <x v="1"/>
    <x v="77"/>
    <x v="19"/>
    <x v="1"/>
    <x v="11"/>
    <x v="1"/>
    <x v="0"/>
    <x v="8"/>
    <x v="0"/>
    <x v="0"/>
    <x v="15"/>
  </r>
  <r>
    <x v="77"/>
    <x v="66"/>
    <x v="3"/>
    <x v="3"/>
    <x v="78"/>
    <x v="69"/>
    <x v="1"/>
    <x v="11"/>
    <x v="1"/>
    <x v="0"/>
    <x v="2"/>
    <x v="0"/>
    <x v="0"/>
    <x v="65"/>
  </r>
  <r>
    <x v="78"/>
    <x v="67"/>
    <x v="5"/>
    <x v="5"/>
    <x v="79"/>
    <x v="70"/>
    <x v="1"/>
    <x v="11"/>
    <x v="1"/>
    <x v="0"/>
    <x v="8"/>
    <x v="0"/>
    <x v="0"/>
    <x v="66"/>
  </r>
  <r>
    <x v="30"/>
    <x v="68"/>
    <x v="0"/>
    <x v="0"/>
    <x v="80"/>
    <x v="71"/>
    <x v="1"/>
    <x v="11"/>
    <x v="1"/>
    <x v="2"/>
    <x v="5"/>
    <x v="0"/>
    <x v="0"/>
    <x v="67"/>
  </r>
  <r>
    <x v="79"/>
    <x v="69"/>
    <x v="2"/>
    <x v="2"/>
    <x v="81"/>
    <x v="72"/>
    <x v="1"/>
    <x v="11"/>
    <x v="1"/>
    <x v="0"/>
    <x v="3"/>
    <x v="0"/>
    <x v="0"/>
    <x v="68"/>
  </r>
  <r>
    <x v="80"/>
    <x v="70"/>
    <x v="2"/>
    <x v="2"/>
    <x v="82"/>
    <x v="19"/>
    <x v="1"/>
    <x v="11"/>
    <x v="1"/>
    <x v="0"/>
    <x v="6"/>
    <x v="0"/>
    <x v="0"/>
    <x v="15"/>
  </r>
  <r>
    <x v="81"/>
    <x v="71"/>
    <x v="0"/>
    <x v="0"/>
    <x v="83"/>
    <x v="73"/>
    <x v="1"/>
    <x v="11"/>
    <x v="1"/>
    <x v="0"/>
    <x v="5"/>
    <x v="0"/>
    <x v="0"/>
    <x v="69"/>
  </r>
  <r>
    <x v="82"/>
    <x v="58"/>
    <x v="0"/>
    <x v="0"/>
    <x v="84"/>
    <x v="74"/>
    <x v="1"/>
    <x v="11"/>
    <x v="1"/>
    <x v="0"/>
    <x v="6"/>
    <x v="0"/>
    <x v="0"/>
    <x v="70"/>
  </r>
  <r>
    <x v="83"/>
    <x v="72"/>
    <x v="3"/>
    <x v="3"/>
    <x v="85"/>
    <x v="75"/>
    <x v="1"/>
    <x v="11"/>
    <x v="1"/>
    <x v="0"/>
    <x v="1"/>
    <x v="0"/>
    <x v="0"/>
    <x v="71"/>
  </r>
  <r>
    <x v="84"/>
    <x v="2"/>
    <x v="5"/>
    <x v="5"/>
    <x v="86"/>
    <x v="76"/>
    <x v="1"/>
    <x v="11"/>
    <x v="1"/>
    <x v="0"/>
    <x v="4"/>
    <x v="0"/>
    <x v="0"/>
    <x v="72"/>
  </r>
  <r>
    <x v="85"/>
    <x v="46"/>
    <x v="0"/>
    <x v="0"/>
    <x v="87"/>
    <x v="77"/>
    <x v="1"/>
    <x v="11"/>
    <x v="1"/>
    <x v="0"/>
    <x v="7"/>
    <x v="0"/>
    <x v="0"/>
    <x v="73"/>
  </r>
  <r>
    <x v="86"/>
    <x v="73"/>
    <x v="3"/>
    <x v="3"/>
    <x v="88"/>
    <x v="78"/>
    <x v="1"/>
    <x v="11"/>
    <x v="1"/>
    <x v="0"/>
    <x v="8"/>
    <x v="0"/>
    <x v="0"/>
    <x v="74"/>
  </r>
  <r>
    <x v="87"/>
    <x v="56"/>
    <x v="2"/>
    <x v="2"/>
    <x v="89"/>
    <x v="79"/>
    <x v="1"/>
    <x v="11"/>
    <x v="1"/>
    <x v="1"/>
    <x v="8"/>
    <x v="0"/>
    <x v="0"/>
    <x v="75"/>
  </r>
  <r>
    <x v="88"/>
    <x v="74"/>
    <x v="5"/>
    <x v="5"/>
    <x v="90"/>
    <x v="80"/>
    <x v="1"/>
    <x v="11"/>
    <x v="1"/>
    <x v="0"/>
    <x v="2"/>
    <x v="0"/>
    <x v="0"/>
    <x v="76"/>
  </r>
  <r>
    <x v="89"/>
    <x v="42"/>
    <x v="0"/>
    <x v="0"/>
    <x v="91"/>
    <x v="81"/>
    <x v="1"/>
    <x v="11"/>
    <x v="1"/>
    <x v="0"/>
    <x v="0"/>
    <x v="0"/>
    <x v="0"/>
    <x v="77"/>
  </r>
  <r>
    <x v="90"/>
    <x v="75"/>
    <x v="3"/>
    <x v="3"/>
    <x v="92"/>
    <x v="82"/>
    <x v="1"/>
    <x v="11"/>
    <x v="1"/>
    <x v="1"/>
    <x v="0"/>
    <x v="0"/>
    <x v="0"/>
    <x v="78"/>
  </r>
  <r>
    <x v="91"/>
    <x v="73"/>
    <x v="4"/>
    <x v="4"/>
    <x v="93"/>
    <x v="83"/>
    <x v="1"/>
    <x v="11"/>
    <x v="1"/>
    <x v="0"/>
    <x v="9"/>
    <x v="0"/>
    <x v="0"/>
    <x v="79"/>
  </r>
  <r>
    <x v="92"/>
    <x v="76"/>
    <x v="4"/>
    <x v="4"/>
    <x v="94"/>
    <x v="84"/>
    <x v="1"/>
    <x v="11"/>
    <x v="1"/>
    <x v="0"/>
    <x v="8"/>
    <x v="0"/>
    <x v="0"/>
    <x v="80"/>
  </r>
  <r>
    <x v="93"/>
    <x v="71"/>
    <x v="0"/>
    <x v="0"/>
    <x v="95"/>
    <x v="85"/>
    <x v="1"/>
    <x v="11"/>
    <x v="1"/>
    <x v="0"/>
    <x v="1"/>
    <x v="0"/>
    <x v="0"/>
    <x v="81"/>
  </r>
  <r>
    <x v="94"/>
    <x v="77"/>
    <x v="4"/>
    <x v="4"/>
    <x v="96"/>
    <x v="86"/>
    <x v="1"/>
    <x v="11"/>
    <x v="1"/>
    <x v="0"/>
    <x v="6"/>
    <x v="0"/>
    <x v="0"/>
    <x v="82"/>
  </r>
  <r>
    <x v="95"/>
    <x v="78"/>
    <x v="0"/>
    <x v="0"/>
    <x v="97"/>
    <x v="19"/>
    <x v="1"/>
    <x v="11"/>
    <x v="1"/>
    <x v="0"/>
    <x v="8"/>
    <x v="0"/>
    <x v="0"/>
    <x v="15"/>
  </r>
  <r>
    <x v="96"/>
    <x v="79"/>
    <x v="1"/>
    <x v="1"/>
    <x v="98"/>
    <x v="87"/>
    <x v="1"/>
    <x v="11"/>
    <x v="1"/>
    <x v="1"/>
    <x v="9"/>
    <x v="0"/>
    <x v="0"/>
    <x v="83"/>
  </r>
  <r>
    <x v="97"/>
    <x v="80"/>
    <x v="1"/>
    <x v="1"/>
    <x v="75"/>
    <x v="88"/>
    <x v="1"/>
    <x v="11"/>
    <x v="1"/>
    <x v="0"/>
    <x v="7"/>
    <x v="0"/>
    <x v="0"/>
    <x v="84"/>
  </r>
  <r>
    <x v="98"/>
    <x v="81"/>
    <x v="0"/>
    <x v="0"/>
    <x v="99"/>
    <x v="89"/>
    <x v="1"/>
    <x v="11"/>
    <x v="1"/>
    <x v="0"/>
    <x v="3"/>
    <x v="0"/>
    <x v="0"/>
    <x v="85"/>
  </r>
  <r>
    <x v="99"/>
    <x v="82"/>
    <x v="3"/>
    <x v="3"/>
    <x v="100"/>
    <x v="90"/>
    <x v="1"/>
    <x v="11"/>
    <x v="1"/>
    <x v="0"/>
    <x v="0"/>
    <x v="0"/>
    <x v="0"/>
    <x v="86"/>
  </r>
  <r>
    <x v="100"/>
    <x v="62"/>
    <x v="0"/>
    <x v="0"/>
    <x v="101"/>
    <x v="91"/>
    <x v="1"/>
    <x v="11"/>
    <x v="1"/>
    <x v="0"/>
    <x v="4"/>
    <x v="0"/>
    <x v="0"/>
    <x v="87"/>
  </r>
  <r>
    <x v="101"/>
    <x v="5"/>
    <x v="3"/>
    <x v="3"/>
    <x v="102"/>
    <x v="92"/>
    <x v="1"/>
    <x v="11"/>
    <x v="1"/>
    <x v="0"/>
    <x v="2"/>
    <x v="0"/>
    <x v="0"/>
    <x v="88"/>
  </r>
  <r>
    <x v="102"/>
    <x v="83"/>
    <x v="1"/>
    <x v="1"/>
    <x v="103"/>
    <x v="93"/>
    <x v="1"/>
    <x v="4"/>
    <x v="1"/>
    <x v="1"/>
    <x v="6"/>
    <x v="1"/>
    <x v="1"/>
    <x v="4"/>
  </r>
  <r>
    <x v="103"/>
    <x v="84"/>
    <x v="0"/>
    <x v="0"/>
    <x v="104"/>
    <x v="94"/>
    <x v="1"/>
    <x v="12"/>
    <x v="1"/>
    <x v="0"/>
    <x v="1"/>
    <x v="3"/>
    <x v="3"/>
    <x v="89"/>
  </r>
  <r>
    <x v="104"/>
    <x v="85"/>
    <x v="5"/>
    <x v="5"/>
    <x v="105"/>
    <x v="95"/>
    <x v="1"/>
    <x v="13"/>
    <x v="1"/>
    <x v="0"/>
    <x v="7"/>
    <x v="2"/>
    <x v="2"/>
    <x v="90"/>
  </r>
  <r>
    <x v="105"/>
    <x v="35"/>
    <x v="4"/>
    <x v="4"/>
    <x v="106"/>
    <x v="96"/>
    <x v="1"/>
    <x v="14"/>
    <x v="1"/>
    <x v="0"/>
    <x v="8"/>
    <x v="3"/>
    <x v="3"/>
    <x v="91"/>
  </r>
  <r>
    <x v="106"/>
    <x v="7"/>
    <x v="4"/>
    <x v="4"/>
    <x v="107"/>
    <x v="97"/>
    <x v="1"/>
    <x v="15"/>
    <x v="1"/>
    <x v="0"/>
    <x v="7"/>
    <x v="1"/>
    <x v="1"/>
    <x v="4"/>
  </r>
  <r>
    <x v="107"/>
    <x v="56"/>
    <x v="3"/>
    <x v="3"/>
    <x v="108"/>
    <x v="98"/>
    <x v="1"/>
    <x v="16"/>
    <x v="1"/>
    <x v="0"/>
    <x v="1"/>
    <x v="2"/>
    <x v="2"/>
    <x v="92"/>
  </r>
  <r>
    <x v="108"/>
    <x v="86"/>
    <x v="1"/>
    <x v="1"/>
    <x v="109"/>
    <x v="99"/>
    <x v="1"/>
    <x v="17"/>
    <x v="1"/>
    <x v="0"/>
    <x v="4"/>
    <x v="3"/>
    <x v="3"/>
    <x v="93"/>
  </r>
  <r>
    <x v="109"/>
    <x v="87"/>
    <x v="0"/>
    <x v="0"/>
    <x v="110"/>
    <x v="100"/>
    <x v="1"/>
    <x v="18"/>
    <x v="1"/>
    <x v="0"/>
    <x v="1"/>
    <x v="2"/>
    <x v="2"/>
    <x v="94"/>
  </r>
  <r>
    <x v="110"/>
    <x v="75"/>
    <x v="0"/>
    <x v="0"/>
    <x v="111"/>
    <x v="101"/>
    <x v="1"/>
    <x v="19"/>
    <x v="1"/>
    <x v="0"/>
    <x v="7"/>
    <x v="2"/>
    <x v="2"/>
    <x v="95"/>
  </r>
  <r>
    <x v="111"/>
    <x v="88"/>
    <x v="0"/>
    <x v="0"/>
    <x v="112"/>
    <x v="102"/>
    <x v="1"/>
    <x v="7"/>
    <x v="1"/>
    <x v="0"/>
    <x v="1"/>
    <x v="2"/>
    <x v="2"/>
    <x v="96"/>
  </r>
  <r>
    <x v="112"/>
    <x v="13"/>
    <x v="1"/>
    <x v="1"/>
    <x v="113"/>
    <x v="103"/>
    <x v="1"/>
    <x v="20"/>
    <x v="1"/>
    <x v="0"/>
    <x v="7"/>
    <x v="2"/>
    <x v="2"/>
    <x v="97"/>
  </r>
  <r>
    <x v="113"/>
    <x v="89"/>
    <x v="3"/>
    <x v="3"/>
    <x v="114"/>
    <x v="104"/>
    <x v="1"/>
    <x v="21"/>
    <x v="1"/>
    <x v="2"/>
    <x v="4"/>
    <x v="1"/>
    <x v="1"/>
    <x v="4"/>
  </r>
  <r>
    <x v="114"/>
    <x v="90"/>
    <x v="5"/>
    <x v="5"/>
    <x v="115"/>
    <x v="105"/>
    <x v="1"/>
    <x v="13"/>
    <x v="1"/>
    <x v="0"/>
    <x v="3"/>
    <x v="2"/>
    <x v="2"/>
    <x v="98"/>
  </r>
  <r>
    <x v="115"/>
    <x v="91"/>
    <x v="4"/>
    <x v="4"/>
    <x v="116"/>
    <x v="19"/>
    <x v="1"/>
    <x v="5"/>
    <x v="1"/>
    <x v="0"/>
    <x v="1"/>
    <x v="1"/>
    <x v="1"/>
    <x v="4"/>
  </r>
  <r>
    <x v="116"/>
    <x v="33"/>
    <x v="0"/>
    <x v="0"/>
    <x v="117"/>
    <x v="19"/>
    <x v="1"/>
    <x v="22"/>
    <x v="1"/>
    <x v="1"/>
    <x v="1"/>
    <x v="0"/>
    <x v="0"/>
    <x v="15"/>
  </r>
  <r>
    <x v="117"/>
    <x v="92"/>
    <x v="4"/>
    <x v="4"/>
    <x v="118"/>
    <x v="19"/>
    <x v="1"/>
    <x v="23"/>
    <x v="1"/>
    <x v="0"/>
    <x v="0"/>
    <x v="2"/>
    <x v="2"/>
    <x v="99"/>
  </r>
  <r>
    <x v="118"/>
    <x v="93"/>
    <x v="3"/>
    <x v="3"/>
    <x v="119"/>
    <x v="106"/>
    <x v="1"/>
    <x v="24"/>
    <x v="1"/>
    <x v="0"/>
    <x v="3"/>
    <x v="2"/>
    <x v="2"/>
    <x v="100"/>
  </r>
  <r>
    <x v="119"/>
    <x v="45"/>
    <x v="5"/>
    <x v="5"/>
    <x v="120"/>
    <x v="107"/>
    <x v="1"/>
    <x v="25"/>
    <x v="1"/>
    <x v="0"/>
    <x v="6"/>
    <x v="3"/>
    <x v="3"/>
    <x v="101"/>
  </r>
  <r>
    <x v="120"/>
    <x v="25"/>
    <x v="1"/>
    <x v="1"/>
    <x v="121"/>
    <x v="108"/>
    <x v="1"/>
    <x v="26"/>
    <x v="1"/>
    <x v="0"/>
    <x v="1"/>
    <x v="0"/>
    <x v="0"/>
    <x v="102"/>
  </r>
  <r>
    <x v="121"/>
    <x v="94"/>
    <x v="1"/>
    <x v="1"/>
    <x v="122"/>
    <x v="109"/>
    <x v="1"/>
    <x v="27"/>
    <x v="1"/>
    <x v="0"/>
    <x v="0"/>
    <x v="1"/>
    <x v="1"/>
    <x v="4"/>
  </r>
  <r>
    <x v="122"/>
    <x v="83"/>
    <x v="0"/>
    <x v="0"/>
    <x v="123"/>
    <x v="110"/>
    <x v="1"/>
    <x v="28"/>
    <x v="1"/>
    <x v="0"/>
    <x v="8"/>
    <x v="1"/>
    <x v="1"/>
    <x v="4"/>
  </r>
  <r>
    <x v="123"/>
    <x v="70"/>
    <x v="5"/>
    <x v="5"/>
    <x v="124"/>
    <x v="111"/>
    <x v="1"/>
    <x v="29"/>
    <x v="1"/>
    <x v="0"/>
    <x v="8"/>
    <x v="1"/>
    <x v="1"/>
    <x v="4"/>
  </r>
  <r>
    <x v="124"/>
    <x v="46"/>
    <x v="2"/>
    <x v="2"/>
    <x v="125"/>
    <x v="112"/>
    <x v="1"/>
    <x v="30"/>
    <x v="1"/>
    <x v="0"/>
    <x v="2"/>
    <x v="3"/>
    <x v="3"/>
    <x v="103"/>
  </r>
  <r>
    <x v="125"/>
    <x v="3"/>
    <x v="5"/>
    <x v="5"/>
    <x v="126"/>
    <x v="113"/>
    <x v="1"/>
    <x v="31"/>
    <x v="1"/>
    <x v="1"/>
    <x v="1"/>
    <x v="3"/>
    <x v="3"/>
    <x v="104"/>
  </r>
  <r>
    <x v="126"/>
    <x v="95"/>
    <x v="5"/>
    <x v="5"/>
    <x v="127"/>
    <x v="114"/>
    <x v="1"/>
    <x v="27"/>
    <x v="1"/>
    <x v="0"/>
    <x v="0"/>
    <x v="1"/>
    <x v="1"/>
    <x v="4"/>
  </r>
  <r>
    <x v="127"/>
    <x v="96"/>
    <x v="4"/>
    <x v="4"/>
    <x v="128"/>
    <x v="115"/>
    <x v="1"/>
    <x v="12"/>
    <x v="1"/>
    <x v="2"/>
    <x v="3"/>
    <x v="3"/>
    <x v="3"/>
    <x v="105"/>
  </r>
  <r>
    <x v="79"/>
    <x v="97"/>
    <x v="3"/>
    <x v="3"/>
    <x v="129"/>
    <x v="116"/>
    <x v="1"/>
    <x v="24"/>
    <x v="1"/>
    <x v="1"/>
    <x v="1"/>
    <x v="2"/>
    <x v="2"/>
    <x v="106"/>
  </r>
  <r>
    <x v="128"/>
    <x v="42"/>
    <x v="2"/>
    <x v="2"/>
    <x v="130"/>
    <x v="117"/>
    <x v="1"/>
    <x v="22"/>
    <x v="1"/>
    <x v="0"/>
    <x v="0"/>
    <x v="0"/>
    <x v="0"/>
    <x v="107"/>
  </r>
  <r>
    <x v="129"/>
    <x v="98"/>
    <x v="1"/>
    <x v="1"/>
    <x v="46"/>
    <x v="118"/>
    <x v="1"/>
    <x v="19"/>
    <x v="1"/>
    <x v="0"/>
    <x v="1"/>
    <x v="2"/>
    <x v="2"/>
    <x v="108"/>
  </r>
  <r>
    <x v="130"/>
    <x v="99"/>
    <x v="0"/>
    <x v="0"/>
    <x v="131"/>
    <x v="119"/>
    <x v="1"/>
    <x v="26"/>
    <x v="1"/>
    <x v="0"/>
    <x v="8"/>
    <x v="0"/>
    <x v="0"/>
    <x v="109"/>
  </r>
  <r>
    <x v="131"/>
    <x v="100"/>
    <x v="4"/>
    <x v="4"/>
    <x v="132"/>
    <x v="19"/>
    <x v="1"/>
    <x v="0"/>
    <x v="1"/>
    <x v="0"/>
    <x v="6"/>
    <x v="0"/>
    <x v="0"/>
    <x v="15"/>
  </r>
  <r>
    <x v="132"/>
    <x v="101"/>
    <x v="3"/>
    <x v="3"/>
    <x v="133"/>
    <x v="120"/>
    <x v="1"/>
    <x v="32"/>
    <x v="1"/>
    <x v="1"/>
    <x v="0"/>
    <x v="3"/>
    <x v="3"/>
    <x v="110"/>
  </r>
  <r>
    <x v="28"/>
    <x v="102"/>
    <x v="2"/>
    <x v="2"/>
    <x v="134"/>
    <x v="19"/>
    <x v="1"/>
    <x v="9"/>
    <x v="1"/>
    <x v="0"/>
    <x v="2"/>
    <x v="0"/>
    <x v="0"/>
    <x v="15"/>
  </r>
  <r>
    <x v="133"/>
    <x v="103"/>
    <x v="3"/>
    <x v="3"/>
    <x v="135"/>
    <x v="121"/>
    <x v="1"/>
    <x v="26"/>
    <x v="1"/>
    <x v="0"/>
    <x v="0"/>
    <x v="0"/>
    <x v="0"/>
    <x v="111"/>
  </r>
  <r>
    <x v="134"/>
    <x v="104"/>
    <x v="3"/>
    <x v="3"/>
    <x v="136"/>
    <x v="122"/>
    <x v="1"/>
    <x v="33"/>
    <x v="1"/>
    <x v="0"/>
    <x v="0"/>
    <x v="4"/>
    <x v="4"/>
    <x v="112"/>
  </r>
  <r>
    <x v="135"/>
    <x v="97"/>
    <x v="4"/>
    <x v="4"/>
    <x v="137"/>
    <x v="19"/>
    <x v="1"/>
    <x v="34"/>
    <x v="1"/>
    <x v="2"/>
    <x v="9"/>
    <x v="3"/>
    <x v="3"/>
    <x v="113"/>
  </r>
  <r>
    <x v="136"/>
    <x v="97"/>
    <x v="3"/>
    <x v="3"/>
    <x v="138"/>
    <x v="123"/>
    <x v="1"/>
    <x v="35"/>
    <x v="1"/>
    <x v="2"/>
    <x v="8"/>
    <x v="0"/>
    <x v="0"/>
    <x v="114"/>
  </r>
  <r>
    <x v="137"/>
    <x v="44"/>
    <x v="0"/>
    <x v="0"/>
    <x v="139"/>
    <x v="19"/>
    <x v="1"/>
    <x v="36"/>
    <x v="1"/>
    <x v="0"/>
    <x v="4"/>
    <x v="4"/>
    <x v="4"/>
    <x v="115"/>
  </r>
  <r>
    <x v="138"/>
    <x v="47"/>
    <x v="5"/>
    <x v="5"/>
    <x v="140"/>
    <x v="124"/>
    <x v="1"/>
    <x v="0"/>
    <x v="1"/>
    <x v="1"/>
    <x v="3"/>
    <x v="0"/>
    <x v="0"/>
    <x v="116"/>
  </r>
  <r>
    <x v="139"/>
    <x v="105"/>
    <x v="0"/>
    <x v="0"/>
    <x v="141"/>
    <x v="125"/>
    <x v="1"/>
    <x v="37"/>
    <x v="1"/>
    <x v="0"/>
    <x v="8"/>
    <x v="0"/>
    <x v="0"/>
    <x v="117"/>
  </r>
  <r>
    <x v="140"/>
    <x v="106"/>
    <x v="2"/>
    <x v="2"/>
    <x v="142"/>
    <x v="126"/>
    <x v="1"/>
    <x v="7"/>
    <x v="1"/>
    <x v="0"/>
    <x v="3"/>
    <x v="2"/>
    <x v="2"/>
    <x v="118"/>
  </r>
  <r>
    <x v="141"/>
    <x v="107"/>
    <x v="4"/>
    <x v="4"/>
    <x v="143"/>
    <x v="127"/>
    <x v="1"/>
    <x v="38"/>
    <x v="1"/>
    <x v="0"/>
    <x v="2"/>
    <x v="1"/>
    <x v="1"/>
    <x v="4"/>
  </r>
  <r>
    <x v="142"/>
    <x v="108"/>
    <x v="3"/>
    <x v="3"/>
    <x v="144"/>
    <x v="128"/>
    <x v="1"/>
    <x v="39"/>
    <x v="1"/>
    <x v="1"/>
    <x v="1"/>
    <x v="2"/>
    <x v="2"/>
    <x v="119"/>
  </r>
  <r>
    <x v="143"/>
    <x v="89"/>
    <x v="1"/>
    <x v="1"/>
    <x v="145"/>
    <x v="129"/>
    <x v="1"/>
    <x v="40"/>
    <x v="1"/>
    <x v="0"/>
    <x v="7"/>
    <x v="2"/>
    <x v="2"/>
    <x v="120"/>
  </r>
  <r>
    <x v="144"/>
    <x v="86"/>
    <x v="0"/>
    <x v="0"/>
    <x v="146"/>
    <x v="130"/>
    <x v="1"/>
    <x v="14"/>
    <x v="1"/>
    <x v="0"/>
    <x v="3"/>
    <x v="3"/>
    <x v="3"/>
    <x v="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B1524-684B-4924-B944-FAF253719EF8}" name="PivotTable13" cacheId="1" applyNumberFormats="0" applyBorderFormats="0" applyFontFormats="0" applyPatternFormats="0" applyAlignmentFormats="0" applyWidthHeightFormats="1" dataCaption="Values" updatedVersion="7" minRefreshableVersion="3" useAutoFormatting="1" rowGrandTotals="0" itemPrintTitles="1" createdVersion="5" indent="0" compact="0" compactData="0" multipleFieldFilters="0" chartFormat="8" rowHeaderCaption="Employment Status">
  <location ref="A18:C32" firstHeaderRow="1" firstDataRow="1" firstDataCol="2"/>
  <pivotFields count="16">
    <pivotField compact="0" outline="0" showAll="0"/>
    <pivotField compact="0" outline="0" showAll="0"/>
    <pivotField compact="0" outline="0" showAll="0"/>
    <pivotField axis="axisRow" compact="0" outline="0" multipleItemSelectionAllowed="1" showAll="0" sortType="de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compact="0" numFmtId="165" outline="0" showAll="0">
      <items count="15">
        <item x="0"/>
        <item x="1"/>
        <item x="2"/>
        <item x="3"/>
        <item x="4"/>
        <item x="5"/>
        <item x="6"/>
        <item x="7"/>
        <item x="8"/>
        <item x="9"/>
        <item x="10"/>
        <item x="11"/>
        <item x="12"/>
        <item x="13"/>
        <item t="default"/>
      </items>
    </pivotField>
    <pivotField compact="0" numFmtId="166" outline="0" showAll="0"/>
    <pivotField compact="0" outline="0" showAll="0"/>
    <pivotField compact="0" numFmtId="1" outline="0" showAll="0"/>
    <pivotField compact="0" outline="0" showAll="0"/>
    <pivotField axis="axisRow" dataField="1" compact="0" outline="0" multipleItemSelectionAllowed="1" showAll="0">
      <items count="4">
        <item x="0"/>
        <item x="1"/>
        <item h="1" x="2"/>
        <item t="default"/>
      </items>
    </pivotField>
    <pivotField compact="0" numFmtId="1" outline="0" showAll="0"/>
    <pivotField compact="0" outline="0" showAll="0">
      <items count="6">
        <item x="2"/>
        <item x="0"/>
        <item x="3"/>
        <item x="1"/>
        <item x="4"/>
        <item t="default"/>
      </items>
    </pivotField>
    <pivotField compact="0" numFmtId="9" outline="0" showAll="0"/>
    <pivotField compact="0" numFmtId="166" outline="0" showAll="0"/>
    <pivotField compact="0" outline="0" showAll="0">
      <items count="7">
        <item x="0"/>
        <item x="1"/>
        <item x="2"/>
        <item x="3"/>
        <item x="4"/>
        <item x="5"/>
        <item t="default"/>
      </items>
    </pivotField>
    <pivotField compact="0" outline="0" showAll="0">
      <items count="12">
        <item x="0"/>
        <item x="1"/>
        <item x="2"/>
        <item x="3"/>
        <item x="4"/>
        <item x="5"/>
        <item x="6"/>
        <item x="7"/>
        <item x="8"/>
        <item x="9"/>
        <item x="10"/>
        <item t="default"/>
      </items>
    </pivotField>
  </pivotFields>
  <rowFields count="2">
    <field x="9"/>
    <field x="3"/>
  </rowFields>
  <rowItems count="14">
    <i>
      <x/>
      <x v="2"/>
    </i>
    <i r="1">
      <x v="5"/>
    </i>
    <i r="1">
      <x v="4"/>
    </i>
    <i r="1">
      <x v="3"/>
    </i>
    <i r="1">
      <x v="1"/>
    </i>
    <i r="1">
      <x/>
    </i>
    <i t="default">
      <x/>
    </i>
    <i>
      <x v="1"/>
      <x v="4"/>
    </i>
    <i r="1">
      <x v="2"/>
    </i>
    <i r="1">
      <x v="5"/>
    </i>
    <i r="1">
      <x/>
    </i>
    <i r="1">
      <x v="3"/>
    </i>
    <i r="1">
      <x v="1"/>
    </i>
    <i t="default">
      <x v="1"/>
    </i>
  </rowItems>
  <colItems count="1">
    <i/>
  </colItems>
  <dataFields count="1">
    <dataField name="Percentage Employment Status" fld="9" subtotal="count" showDataAs="percentOfTotal" baseField="0" baseItem="0" numFmtId="10"/>
  </dataFields>
  <formats count="4">
    <format dxfId="3">
      <pivotArea dataOnly="0" labelOnly="1" outline="0" fieldPosition="0">
        <references count="1">
          <reference field="9" count="0"/>
        </references>
      </pivotArea>
    </format>
    <format dxfId="2">
      <pivotArea dataOnly="0" labelOnly="1" outline="0" fieldPosition="0">
        <references count="1">
          <reference field="9" count="0"/>
        </references>
      </pivotArea>
    </format>
    <format dxfId="1">
      <pivotArea outline="0" fieldPosition="0">
        <references count="1">
          <reference field="9" count="1" selected="0" defaultSubtotal="1">
            <x v="1"/>
          </reference>
        </references>
      </pivotArea>
    </format>
    <format dxfId="0">
      <pivotArea dataOnly="0" labelOnly="1" outline="0" fieldPosition="0">
        <references count="1">
          <reference field="9" count="1" defaultSubtotal="1">
            <x v="1"/>
          </reference>
        </references>
      </pivotArea>
    </format>
  </formats>
  <chartFormats count="18">
    <chartFormat chart="2" format="24" series="1">
      <pivotArea type="data" outline="0" fieldPosition="0">
        <references count="1">
          <reference field="4294967294" count="1" selected="0">
            <x v="0"/>
          </reference>
        </references>
      </pivotArea>
    </chartFormat>
    <chartFormat chart="5" format="34" series="1">
      <pivotArea type="data" outline="0" fieldPosition="0">
        <references count="1">
          <reference field="4294967294" count="1" selected="0">
            <x v="0"/>
          </reference>
        </references>
      </pivotArea>
    </chartFormat>
    <chartFormat chart="5" format="35">
      <pivotArea type="data" outline="0" fieldPosition="0">
        <references count="3">
          <reference field="4294967294" count="1" selected="0">
            <x v="0"/>
          </reference>
          <reference field="3" count="1" selected="0">
            <x v="2"/>
          </reference>
          <reference field="9" count="1" selected="0">
            <x v="0"/>
          </reference>
        </references>
      </pivotArea>
    </chartFormat>
    <chartFormat chart="5" format="36">
      <pivotArea type="data" outline="0" fieldPosition="0">
        <references count="3">
          <reference field="4294967294" count="1" selected="0">
            <x v="0"/>
          </reference>
          <reference field="3" count="1" selected="0">
            <x v="5"/>
          </reference>
          <reference field="9" count="1" selected="0">
            <x v="0"/>
          </reference>
        </references>
      </pivotArea>
    </chartFormat>
    <chartFormat chart="5" format="37">
      <pivotArea type="data" outline="0" fieldPosition="0">
        <references count="3">
          <reference field="4294967294" count="1" selected="0">
            <x v="0"/>
          </reference>
          <reference field="3" count="1" selected="0">
            <x v="4"/>
          </reference>
          <reference field="9" count="1" selected="0">
            <x v="0"/>
          </reference>
        </references>
      </pivotArea>
    </chartFormat>
    <chartFormat chart="5" format="38">
      <pivotArea type="data" outline="0" fieldPosition="0">
        <references count="3">
          <reference field="4294967294" count="1" selected="0">
            <x v="0"/>
          </reference>
          <reference field="3" count="1" selected="0">
            <x v="3"/>
          </reference>
          <reference field="9" count="1" selected="0">
            <x v="0"/>
          </reference>
        </references>
      </pivotArea>
    </chartFormat>
    <chartFormat chart="5" format="39">
      <pivotArea type="data" outline="0" fieldPosition="0">
        <references count="3">
          <reference field="4294967294" count="1" selected="0">
            <x v="0"/>
          </reference>
          <reference field="3" count="1" selected="0">
            <x v="1"/>
          </reference>
          <reference field="9" count="1" selected="0">
            <x v="0"/>
          </reference>
        </references>
      </pivotArea>
    </chartFormat>
    <chartFormat chart="5" format="40">
      <pivotArea type="data" outline="0" fieldPosition="0">
        <references count="3">
          <reference field="4294967294" count="1" selected="0">
            <x v="0"/>
          </reference>
          <reference field="3" count="1" selected="0">
            <x v="0"/>
          </reference>
          <reference field="9" count="1" selected="0">
            <x v="0"/>
          </reference>
        </references>
      </pivotArea>
    </chartFormat>
    <chartFormat chart="5" format="41">
      <pivotArea type="data" outline="0" fieldPosition="0">
        <references count="3">
          <reference field="4294967294" count="1" selected="0">
            <x v="0"/>
          </reference>
          <reference field="3" count="1" selected="0">
            <x v="4"/>
          </reference>
          <reference field="9" count="1" selected="0">
            <x v="1"/>
          </reference>
        </references>
      </pivotArea>
    </chartFormat>
    <chartFormat chart="5" format="42">
      <pivotArea type="data" outline="0" fieldPosition="0">
        <references count="3">
          <reference field="4294967294" count="1" selected="0">
            <x v="0"/>
          </reference>
          <reference field="3" count="1" selected="0">
            <x v="2"/>
          </reference>
          <reference field="9" count="1" selected="0">
            <x v="1"/>
          </reference>
        </references>
      </pivotArea>
    </chartFormat>
    <chartFormat chart="5" format="43">
      <pivotArea type="data" outline="0" fieldPosition="0">
        <references count="3">
          <reference field="4294967294" count="1" selected="0">
            <x v="0"/>
          </reference>
          <reference field="3" count="1" selected="0">
            <x v="5"/>
          </reference>
          <reference field="9" count="1" selected="0">
            <x v="1"/>
          </reference>
        </references>
      </pivotArea>
    </chartFormat>
    <chartFormat chart="5" format="44">
      <pivotArea type="data" outline="0" fieldPosition="0">
        <references count="3">
          <reference field="4294967294" count="1" selected="0">
            <x v="0"/>
          </reference>
          <reference field="3" count="1" selected="0">
            <x v="0"/>
          </reference>
          <reference field="9" count="1" selected="0">
            <x v="1"/>
          </reference>
        </references>
      </pivotArea>
    </chartFormat>
    <chartFormat chart="5" format="45">
      <pivotArea type="data" outline="0" fieldPosition="0">
        <references count="3">
          <reference field="4294967294" count="1" selected="0">
            <x v="0"/>
          </reference>
          <reference field="3" count="1" selected="0">
            <x v="3"/>
          </reference>
          <reference field="9" count="1" selected="0">
            <x v="1"/>
          </reference>
        </references>
      </pivotArea>
    </chartFormat>
    <chartFormat chart="5" format="46">
      <pivotArea type="data" outline="0" fieldPosition="0">
        <references count="3">
          <reference field="4294967294" count="1" selected="0">
            <x v="0"/>
          </reference>
          <reference field="3" count="1" selected="0">
            <x v="1"/>
          </reference>
          <reference field="9" count="1" selected="0">
            <x v="1"/>
          </reference>
        </references>
      </pivotArea>
    </chartFormat>
    <chartFormat chart="5" format="47">
      <pivotArea type="data" outline="0" fieldPosition="0">
        <references count="3">
          <reference field="4294967294" count="1" selected="0">
            <x v="0"/>
          </reference>
          <reference field="3" count="1" selected="0">
            <x v="4"/>
          </reference>
          <reference field="9" count="1" selected="0">
            <x v="2"/>
          </reference>
        </references>
      </pivotArea>
    </chartFormat>
    <chartFormat chart="5" format="48">
      <pivotArea type="data" outline="0" fieldPosition="0">
        <references count="3">
          <reference field="4294967294" count="1" selected="0">
            <x v="0"/>
          </reference>
          <reference field="3" count="1" selected="0">
            <x v="5"/>
          </reference>
          <reference field="9" count="1" selected="0">
            <x v="2"/>
          </reference>
        </references>
      </pivotArea>
    </chartFormat>
    <chartFormat chart="5" format="49">
      <pivotArea type="data" outline="0" fieldPosition="0">
        <references count="3">
          <reference field="4294967294" count="1" selected="0">
            <x v="0"/>
          </reference>
          <reference field="3" count="1" selected="0">
            <x v="2"/>
          </reference>
          <reference field="9" count="1" selected="0">
            <x v="2"/>
          </reference>
        </references>
      </pivotArea>
    </chartFormat>
    <chartFormat chart="5" format="50">
      <pivotArea type="data" outline="0" fieldPosition="0">
        <references count="3">
          <reference field="4294967294" count="1" selected="0">
            <x v="0"/>
          </reference>
          <reference field="3" count="1" selected="0">
            <x v="1"/>
          </reference>
          <reference field="9"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CD0CE-C5C5-499C-AEAD-AF68E1E36C96}" name="PivotTable10"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Department">
  <location ref="D3:D4" firstHeaderRow="1" firstDataRow="1" firstDataCol="0"/>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numFmtId="166" showAll="0"/>
    <pivotField showAll="0"/>
    <pivotField numFmtId="1" showAll="0"/>
    <pivotField showAll="0"/>
    <pivotField showAll="0">
      <items count="4">
        <item x="0"/>
        <item x="1"/>
        <item h="1" x="2"/>
        <item t="default"/>
      </items>
    </pivotField>
    <pivotField numFmtId="1" showAll="0"/>
    <pivotField showAll="0">
      <items count="6">
        <item x="2"/>
        <item x="0"/>
        <item x="3"/>
        <item x="1"/>
        <item x="4"/>
        <item t="default"/>
      </items>
    </pivotField>
    <pivotField numFmtId="9" showAll="0"/>
    <pivotField dataField="1"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Eligible Bonus Amount" fld="13" baseField="0" baseItem="0"/>
  </dataFields>
  <formats count="2">
    <format dxfId="4">
      <pivotArea outline="0" collapsedLevelsAreSubtotals="1" fieldPosition="0"/>
    </format>
    <format dxfId="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1" applyNumberFormats="0" applyBorderFormats="0" applyFontFormats="0" applyPatternFormats="0" applyAlignmentFormats="0" applyWidthHeightFormats="1" dataCaption="Values" updatedVersion="7" minRefreshableVersion="3" useAutoFormatting="1" rowGrandTotals="0" itemPrintTitles="1" createdVersion="5" indent="0" outline="1" outlineData="1" multipleFieldFilters="0" chartFormat="7" rowHeaderCaption="Performance Band">
  <location ref="E7:F9" firstHeaderRow="1" firstDataRow="1" firstDataCol="1"/>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numFmtId="166" showAll="0"/>
    <pivotField showAll="0"/>
    <pivotField dataField="1" numFmtId="1" showAll="0">
      <items count="42">
        <item x="38"/>
        <item x="28"/>
        <item x="29"/>
        <item x="15"/>
        <item x="21"/>
        <item x="4"/>
        <item x="27"/>
        <item x="6"/>
        <item x="10"/>
        <item x="5"/>
        <item x="0"/>
        <item x="2"/>
        <item x="35"/>
        <item x="8"/>
        <item x="37"/>
        <item x="9"/>
        <item x="26"/>
        <item x="11"/>
        <item x="1"/>
        <item x="22"/>
        <item x="3"/>
        <item x="18"/>
        <item x="16"/>
        <item x="39"/>
        <item x="40"/>
        <item x="23"/>
        <item x="13"/>
        <item x="24"/>
        <item x="7"/>
        <item x="19"/>
        <item x="20"/>
        <item x="17"/>
        <item x="12"/>
        <item x="31"/>
        <item x="14"/>
        <item x="32"/>
        <item x="25"/>
        <item x="34"/>
        <item x="30"/>
        <item x="36"/>
        <item x="33"/>
        <item t="default"/>
      </items>
    </pivotField>
    <pivotField showAll="0"/>
    <pivotField axis="axisRow" showAll="0">
      <items count="4">
        <item x="0"/>
        <item x="1"/>
        <item h="1" x="2"/>
        <item t="default"/>
      </items>
    </pivotField>
    <pivotField numFmtId="1" showAll="0"/>
    <pivotField showAll="0">
      <items count="6">
        <item x="2"/>
        <item x="0"/>
        <item x="3"/>
        <item x="1"/>
        <item x="4"/>
        <item t="default"/>
      </items>
    </pivotField>
    <pivotField numFmtId="9" showAll="0"/>
    <pivotField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2">
    <i>
      <x/>
    </i>
    <i>
      <x v="1"/>
    </i>
  </rowItems>
  <colItems count="1">
    <i/>
  </colItems>
  <dataFields count="1">
    <dataField name="Average of Perf_Score" fld="7" subtotal="average" baseField="9" baseItem="0" numFmtId="1"/>
  </dataFields>
  <formats count="1">
    <format dxfId="6">
      <pivotArea outline="0" collapsedLevelsAreSubtotals="1" fieldPosition="0"/>
    </format>
  </format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0"/>
          </reference>
        </references>
      </pivotArea>
    </chartFormat>
    <chartFormat chart="1" format="6">
      <pivotArea type="data" outline="0" fieldPosition="0">
        <references count="2">
          <reference field="4294967294" count="1" selected="0">
            <x v="0"/>
          </reference>
          <reference field="9" count="1" selected="0">
            <x v="1"/>
          </reference>
        </references>
      </pivotArea>
    </chartFormat>
    <chartFormat chart="1" format="7">
      <pivotArea type="data" outline="0" fieldPosition="0">
        <references count="2">
          <reference field="4294967294" count="1" selected="0">
            <x v="0"/>
          </reference>
          <reference field="9"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9" count="1" selected="0">
            <x v="0"/>
          </reference>
        </references>
      </pivotArea>
    </chartFormat>
    <chartFormat chart="4" format="18">
      <pivotArea type="data" outline="0" fieldPosition="0">
        <references count="2">
          <reference field="4294967294" count="1" selected="0">
            <x v="0"/>
          </reference>
          <reference field="9" count="1" selected="0">
            <x v="1"/>
          </reference>
        </references>
      </pivotArea>
    </chartFormat>
    <chartFormat chart="4" format="19">
      <pivotArea type="data" outline="0" fieldPosition="0">
        <references count="2">
          <reference field="4294967294" count="1" selected="0">
            <x v="0"/>
          </reference>
          <reference field="9"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6E5C0-3C50-4001-9EA5-9E796652451C}" name="PivotTable9"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Department">
  <location ref="C3:C4" firstHeaderRow="1" firstDataRow="1" firstDataCol="0"/>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dataField="1" numFmtId="166" showAll="0"/>
    <pivotField showAll="0"/>
    <pivotField numFmtId="1" showAll="0"/>
    <pivotField showAll="0"/>
    <pivotField showAll="0">
      <items count="4">
        <item x="0"/>
        <item x="1"/>
        <item h="1" x="2"/>
        <item t="default"/>
      </items>
    </pivotField>
    <pivotField numFmtId="1" showAll="0"/>
    <pivotField showAll="0">
      <items count="6">
        <item x="2"/>
        <item x="0"/>
        <item x="3"/>
        <item x="1"/>
        <item x="4"/>
        <item t="default"/>
      </items>
    </pivotField>
    <pivotField numFmtId="9" showAll="0"/>
    <pivotField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Salary" fld="5" subtotal="average" baseField="0" baseItem="9" numFmtId="42"/>
  </dataFields>
  <formats count="2">
    <format dxfId="8">
      <pivotArea outline="0" collapsedLevelsAreSubtotals="1" fieldPosition="0"/>
    </format>
    <format dxfId="7">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1" applyNumberFormats="0" applyBorderFormats="0" applyFontFormats="0" applyPatternFormats="0" applyAlignmentFormats="0" applyWidthHeightFormats="1" dataCaption="Values" updatedVersion="7" minRefreshableVersion="3" useAutoFormatting="1" rowGrandTotals="0" itemPrintTitles="1" createdVersion="5" indent="0" outline="1" outlineData="1" multipleFieldFilters="0" chartFormat="5" rowHeaderCaption="Department">
  <location ref="A7:C13" firstHeaderRow="0" firstDataRow="1" firstDataCol="1"/>
  <pivotFields count="16">
    <pivotField dataField="1" showAll="0">
      <items count="146">
        <item x="66"/>
        <item x="136"/>
        <item x="121"/>
        <item x="113"/>
        <item x="56"/>
        <item x="91"/>
        <item x="118"/>
        <item x="100"/>
        <item x="109"/>
        <item x="22"/>
        <item x="63"/>
        <item x="48"/>
        <item x="21"/>
        <item x="110"/>
        <item x="29"/>
        <item x="12"/>
        <item x="61"/>
        <item x="114"/>
        <item x="20"/>
        <item x="10"/>
        <item x="131"/>
        <item x="45"/>
        <item x="74"/>
        <item x="14"/>
        <item x="73"/>
        <item x="39"/>
        <item x="52"/>
        <item x="71"/>
        <item x="5"/>
        <item x="15"/>
        <item x="23"/>
        <item x="57"/>
        <item x="84"/>
        <item x="98"/>
        <item x="95"/>
        <item x="43"/>
        <item x="134"/>
        <item x="115"/>
        <item x="76"/>
        <item x="72"/>
        <item x="55"/>
        <item x="36"/>
        <item x="101"/>
        <item x="69"/>
        <item x="1"/>
        <item x="99"/>
        <item x="80"/>
        <item x="129"/>
        <item x="94"/>
        <item x="127"/>
        <item x="25"/>
        <item x="137"/>
        <item x="90"/>
        <item x="125"/>
        <item x="32"/>
        <item x="11"/>
        <item x="132"/>
        <item x="128"/>
        <item x="111"/>
        <item x="58"/>
        <item x="82"/>
        <item x="87"/>
        <item x="123"/>
        <item x="68"/>
        <item x="18"/>
        <item x="60"/>
        <item x="37"/>
        <item x="50"/>
        <item x="13"/>
        <item x="102"/>
        <item x="116"/>
        <item x="83"/>
        <item x="143"/>
        <item x="30"/>
        <item x="44"/>
        <item x="97"/>
        <item x="41"/>
        <item x="49"/>
        <item x="96"/>
        <item x="24"/>
        <item x="70"/>
        <item x="105"/>
        <item x="34"/>
        <item x="77"/>
        <item x="53"/>
        <item x="142"/>
        <item x="130"/>
        <item x="108"/>
        <item x="64"/>
        <item x="104"/>
        <item x="88"/>
        <item x="8"/>
        <item x="6"/>
        <item x="89"/>
        <item x="7"/>
        <item x="28"/>
        <item x="140"/>
        <item x="120"/>
        <item x="59"/>
        <item x="139"/>
        <item x="85"/>
        <item x="35"/>
        <item x="126"/>
        <item x="17"/>
        <item x="92"/>
        <item x="75"/>
        <item x="4"/>
        <item x="67"/>
        <item x="81"/>
        <item x="103"/>
        <item x="124"/>
        <item x="141"/>
        <item x="86"/>
        <item x="54"/>
        <item x="19"/>
        <item x="122"/>
        <item x="144"/>
        <item x="62"/>
        <item x="78"/>
        <item x="33"/>
        <item x="16"/>
        <item x="0"/>
        <item x="38"/>
        <item x="26"/>
        <item x="133"/>
        <item x="138"/>
        <item x="79"/>
        <item x="46"/>
        <item x="2"/>
        <item x="112"/>
        <item x="40"/>
        <item x="31"/>
        <item x="117"/>
        <item x="3"/>
        <item x="9"/>
        <item x="47"/>
        <item x="106"/>
        <item x="107"/>
        <item x="119"/>
        <item x="65"/>
        <item x="27"/>
        <item x="93"/>
        <item x="135"/>
        <item x="42"/>
        <item x="51"/>
        <item t="default"/>
      </items>
    </pivotField>
    <pivotField showAll="0">
      <items count="110">
        <item x="86"/>
        <item x="19"/>
        <item x="43"/>
        <item x="40"/>
        <item x="18"/>
        <item x="23"/>
        <item x="32"/>
        <item x="95"/>
        <item x="99"/>
        <item x="37"/>
        <item x="51"/>
        <item x="88"/>
        <item x="70"/>
        <item x="64"/>
        <item x="0"/>
        <item x="16"/>
        <item x="48"/>
        <item x="2"/>
        <item x="11"/>
        <item x="5"/>
        <item x="31"/>
        <item x="108"/>
        <item x="10"/>
        <item x="36"/>
        <item x="62"/>
        <item x="45"/>
        <item x="84"/>
        <item x="17"/>
        <item x="89"/>
        <item x="38"/>
        <item x="100"/>
        <item x="49"/>
        <item x="46"/>
        <item x="98"/>
        <item x="63"/>
        <item x="77"/>
        <item x="79"/>
        <item x="30"/>
        <item x="13"/>
        <item x="65"/>
        <item x="12"/>
        <item x="74"/>
        <item x="66"/>
        <item x="85"/>
        <item x="22"/>
        <item x="7"/>
        <item x="44"/>
        <item x="61"/>
        <item x="103"/>
        <item x="71"/>
        <item x="78"/>
        <item x="3"/>
        <item x="26"/>
        <item x="82"/>
        <item x="6"/>
        <item x="105"/>
        <item x="72"/>
        <item x="33"/>
        <item x="80"/>
        <item x="97"/>
        <item x="42"/>
        <item x="107"/>
        <item x="93"/>
        <item x="59"/>
        <item x="68"/>
        <item x="52"/>
        <item x="20"/>
        <item x="28"/>
        <item x="9"/>
        <item x="57"/>
        <item x="21"/>
        <item x="34"/>
        <item x="25"/>
        <item x="47"/>
        <item x="58"/>
        <item x="1"/>
        <item x="101"/>
        <item x="67"/>
        <item x="102"/>
        <item x="53"/>
        <item x="14"/>
        <item x="87"/>
        <item x="54"/>
        <item x="92"/>
        <item x="8"/>
        <item x="29"/>
        <item x="104"/>
        <item x="35"/>
        <item x="90"/>
        <item x="96"/>
        <item x="39"/>
        <item x="91"/>
        <item x="76"/>
        <item x="55"/>
        <item x="50"/>
        <item x="27"/>
        <item x="56"/>
        <item x="41"/>
        <item x="75"/>
        <item x="15"/>
        <item x="4"/>
        <item x="69"/>
        <item x="81"/>
        <item x="60"/>
        <item x="73"/>
        <item x="94"/>
        <item x="106"/>
        <item x="83"/>
        <item x="24"/>
        <item t="default"/>
      </items>
    </pivotField>
    <pivotField showAll="0">
      <items count="7">
        <item x="2"/>
        <item x="5"/>
        <item x="0"/>
        <item x="1"/>
        <item x="3"/>
        <item x="4"/>
        <item t="default"/>
      </items>
    </pivotField>
    <pivotField axis="axisRow"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dataField="1" numFmtId="166" showAll="0">
      <items count="132">
        <item x="66"/>
        <item x="112"/>
        <item x="75"/>
        <item x="70"/>
        <item x="128"/>
        <item x="103"/>
        <item x="65"/>
        <item x="54"/>
        <item x="89"/>
        <item x="0"/>
        <item x="120"/>
        <item x="27"/>
        <item x="60"/>
        <item x="62"/>
        <item x="73"/>
        <item x="39"/>
        <item x="121"/>
        <item x="91"/>
        <item x="63"/>
        <item x="50"/>
        <item x="80"/>
        <item x="37"/>
        <item x="32"/>
        <item x="6"/>
        <item x="106"/>
        <item x="12"/>
        <item x="119"/>
        <item x="127"/>
        <item x="110"/>
        <item x="57"/>
        <item x="122"/>
        <item x="64"/>
        <item x="15"/>
        <item x="30"/>
        <item x="40"/>
        <item x="93"/>
        <item x="82"/>
        <item x="107"/>
        <item x="24"/>
        <item x="78"/>
        <item x="7"/>
        <item x="36"/>
        <item x="68"/>
        <item x="85"/>
        <item x="4"/>
        <item x="18"/>
        <item x="101"/>
        <item x="47"/>
        <item x="58"/>
        <item x="11"/>
        <item x="77"/>
        <item x="26"/>
        <item x="95"/>
        <item x="102"/>
        <item x="42"/>
        <item x="84"/>
        <item x="51"/>
        <item x="14"/>
        <item x="92"/>
        <item x="25"/>
        <item x="41"/>
        <item x="74"/>
        <item x="88"/>
        <item x="118"/>
        <item x="46"/>
        <item x="19"/>
        <item x="71"/>
        <item x="79"/>
        <item x="111"/>
        <item x="28"/>
        <item x="126"/>
        <item x="76"/>
        <item x="38"/>
        <item x="67"/>
        <item x="69"/>
        <item x="117"/>
        <item x="81"/>
        <item x="108"/>
        <item x="90"/>
        <item x="31"/>
        <item x="53"/>
        <item x="94"/>
        <item x="44"/>
        <item x="129"/>
        <item x="48"/>
        <item x="22"/>
        <item x="9"/>
        <item x="86"/>
        <item x="96"/>
        <item x="29"/>
        <item x="72"/>
        <item x="45"/>
        <item x="13"/>
        <item x="23"/>
        <item x="87"/>
        <item x="104"/>
        <item x="8"/>
        <item x="34"/>
        <item x="17"/>
        <item x="3"/>
        <item x="59"/>
        <item x="43"/>
        <item x="16"/>
        <item x="124"/>
        <item x="21"/>
        <item x="109"/>
        <item x="123"/>
        <item x="116"/>
        <item x="98"/>
        <item x="55"/>
        <item x="115"/>
        <item x="61"/>
        <item x="35"/>
        <item x="113"/>
        <item x="1"/>
        <item x="99"/>
        <item x="125"/>
        <item x="33"/>
        <item x="2"/>
        <item x="97"/>
        <item x="56"/>
        <item x="105"/>
        <item x="83"/>
        <item x="49"/>
        <item x="114"/>
        <item x="5"/>
        <item x="100"/>
        <item x="20"/>
        <item x="130"/>
        <item x="10"/>
        <item x="52"/>
        <item t="default"/>
      </items>
    </pivotField>
    <pivotField showAll="0">
      <items count="3">
        <item x="0"/>
        <item x="1"/>
        <item t="default"/>
      </items>
    </pivotField>
    <pivotField numFmtId="1" showAll="0">
      <items count="42">
        <item x="38"/>
        <item x="28"/>
        <item x="29"/>
        <item x="15"/>
        <item x="21"/>
        <item x="4"/>
        <item x="27"/>
        <item x="6"/>
        <item x="10"/>
        <item x="5"/>
        <item x="0"/>
        <item x="2"/>
        <item x="35"/>
        <item x="8"/>
        <item x="37"/>
        <item x="9"/>
        <item x="26"/>
        <item x="11"/>
        <item x="1"/>
        <item x="22"/>
        <item x="3"/>
        <item x="18"/>
        <item x="16"/>
        <item x="39"/>
        <item x="40"/>
        <item x="23"/>
        <item x="13"/>
        <item x="24"/>
        <item x="7"/>
        <item x="19"/>
        <item x="20"/>
        <item x="17"/>
        <item x="12"/>
        <item x="31"/>
        <item x="14"/>
        <item x="32"/>
        <item x="25"/>
        <item x="34"/>
        <item x="30"/>
        <item x="36"/>
        <item x="33"/>
        <item t="default"/>
      </items>
    </pivotField>
    <pivotField showAll="0">
      <items count="3">
        <item x="0"/>
        <item x="1"/>
        <item t="default"/>
      </items>
    </pivotField>
    <pivotField showAll="0">
      <items count="4">
        <item x="0"/>
        <item x="1"/>
        <item h="1" x="2"/>
        <item t="default"/>
      </items>
    </pivotField>
    <pivotField numFmtId="1" showAll="0">
      <items count="11">
        <item x="5"/>
        <item x="3"/>
        <item x="1"/>
        <item x="6"/>
        <item x="4"/>
        <item x="8"/>
        <item x="0"/>
        <item x="7"/>
        <item x="2"/>
        <item x="9"/>
        <item t="default"/>
      </items>
    </pivotField>
    <pivotField showAll="0">
      <items count="6">
        <item x="2"/>
        <item x="0"/>
        <item x="3"/>
        <item x="1"/>
        <item x="4"/>
        <item t="default"/>
      </items>
    </pivotField>
    <pivotField numFmtId="9" showAll="0">
      <items count="6">
        <item x="1"/>
        <item x="0"/>
        <item x="2"/>
        <item x="3"/>
        <item x="4"/>
        <item t="default"/>
      </items>
    </pivotField>
    <pivotField numFmtId="166" showAll="0">
      <items count="123">
        <item x="4"/>
        <item x="62"/>
        <item x="71"/>
        <item x="66"/>
        <item x="61"/>
        <item x="50"/>
        <item x="85"/>
        <item x="0"/>
        <item x="23"/>
        <item x="56"/>
        <item x="58"/>
        <item x="69"/>
        <item x="35"/>
        <item x="111"/>
        <item x="87"/>
        <item x="59"/>
        <item x="46"/>
        <item x="76"/>
        <item x="33"/>
        <item x="28"/>
        <item x="5"/>
        <item x="109"/>
        <item x="53"/>
        <item x="60"/>
        <item x="11"/>
        <item x="26"/>
        <item x="36"/>
        <item x="78"/>
        <item x="20"/>
        <item x="74"/>
        <item x="32"/>
        <item x="64"/>
        <item x="81"/>
        <item x="14"/>
        <item x="43"/>
        <item x="54"/>
        <item x="8"/>
        <item x="73"/>
        <item x="22"/>
        <item x="38"/>
        <item x="80"/>
        <item x="47"/>
        <item x="10"/>
        <item x="88"/>
        <item x="21"/>
        <item x="37"/>
        <item x="70"/>
        <item x="84"/>
        <item x="42"/>
        <item x="15"/>
        <item x="67"/>
        <item x="75"/>
        <item x="24"/>
        <item x="72"/>
        <item x="34"/>
        <item x="63"/>
        <item x="65"/>
        <item x="107"/>
        <item x="77"/>
        <item x="102"/>
        <item x="86"/>
        <item x="27"/>
        <item x="49"/>
        <item x="40"/>
        <item x="44"/>
        <item x="18"/>
        <item x="7"/>
        <item x="82"/>
        <item x="25"/>
        <item x="68"/>
        <item x="41"/>
        <item x="9"/>
        <item x="19"/>
        <item x="83"/>
        <item x="30"/>
        <item x="13"/>
        <item x="3"/>
        <item x="55"/>
        <item x="39"/>
        <item x="12"/>
        <item x="116"/>
        <item x="17"/>
        <item x="114"/>
        <item x="51"/>
        <item x="57"/>
        <item x="31"/>
        <item x="1"/>
        <item x="117"/>
        <item x="29"/>
        <item x="2"/>
        <item x="52"/>
        <item x="79"/>
        <item x="45"/>
        <item x="16"/>
        <item x="48"/>
        <item x="119"/>
        <item x="97"/>
        <item x="100"/>
        <item x="103"/>
        <item x="95"/>
        <item x="90"/>
        <item x="96"/>
        <item x="110"/>
        <item x="108"/>
        <item x="99"/>
        <item x="118"/>
        <item x="120"/>
        <item x="6"/>
        <item x="106"/>
        <item x="101"/>
        <item x="92"/>
        <item x="98"/>
        <item x="94"/>
        <item x="113"/>
        <item x="89"/>
        <item x="91"/>
        <item x="112"/>
        <item x="105"/>
        <item x="104"/>
        <item x="93"/>
        <item x="121"/>
        <item x="115"/>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6">
    <i>
      <x/>
    </i>
    <i>
      <x v="1"/>
    </i>
    <i>
      <x v="2"/>
    </i>
    <i>
      <x v="3"/>
    </i>
    <i>
      <x v="4"/>
    </i>
    <i>
      <x v="5"/>
    </i>
  </rowItems>
  <colFields count="1">
    <field x="-2"/>
  </colFields>
  <colItems count="2">
    <i>
      <x/>
    </i>
    <i i="1">
      <x v="1"/>
    </i>
  </colItems>
  <dataFields count="2">
    <dataField name="Average of Salary" fld="5" subtotal="average" baseField="3" baseItem="0" numFmtId="169"/>
    <dataField name="Total Head count" fld="0" subtotal="count" baseField="0" baseItem="0"/>
  </dataFields>
  <formats count="3">
    <format dxfId="11">
      <pivotArea outline="0" collapsedLevelsAreSubtotals="1" fieldPosition="0"/>
    </format>
    <format dxfId="10">
      <pivotArea dataOnly="0" labelOnly="1" outline="0" axis="axisValues" fieldPosition="0"/>
    </format>
    <format dxfId="9">
      <pivotArea collapsedLevelsAreSubtotals="1" fieldPosition="0">
        <references count="2">
          <reference field="4294967294" count="1" selected="0">
            <x v="1"/>
          </reference>
          <reference field="3" count="0"/>
        </references>
      </pivotArea>
    </format>
  </formats>
  <chartFormats count="14">
    <chartFormat chart="2" format="28" series="1">
      <pivotArea type="data" outline="0" fieldPosition="0">
        <references count="1">
          <reference field="4294967294" count="1" selected="0">
            <x v="0"/>
          </reference>
        </references>
      </pivotArea>
    </chartFormat>
    <chartFormat chart="2" format="29">
      <pivotArea type="data" outline="0" fieldPosition="0">
        <references count="2">
          <reference field="4294967294" count="1" selected="0">
            <x v="0"/>
          </reference>
          <reference field="3" count="1" selected="0">
            <x v="0"/>
          </reference>
        </references>
      </pivotArea>
    </chartFormat>
    <chartFormat chart="2" format="30">
      <pivotArea type="data" outline="0" fieldPosition="0">
        <references count="2">
          <reference field="4294967294" count="1" selected="0">
            <x v="0"/>
          </reference>
          <reference field="3" count="1" selected="0">
            <x v="1"/>
          </reference>
        </references>
      </pivotArea>
    </chartFormat>
    <chartFormat chart="2" format="31">
      <pivotArea type="data" outline="0" fieldPosition="0">
        <references count="2">
          <reference field="4294967294" count="1" selected="0">
            <x v="0"/>
          </reference>
          <reference field="3" count="1" selected="0">
            <x v="2"/>
          </reference>
        </references>
      </pivotArea>
    </chartFormat>
    <chartFormat chart="2" format="32">
      <pivotArea type="data" outline="0" fieldPosition="0">
        <references count="2">
          <reference field="4294967294" count="1" selected="0">
            <x v="0"/>
          </reference>
          <reference field="3" count="1" selected="0">
            <x v="3"/>
          </reference>
        </references>
      </pivotArea>
    </chartFormat>
    <chartFormat chart="2" format="33">
      <pivotArea type="data" outline="0" fieldPosition="0">
        <references count="2">
          <reference field="4294967294" count="1" selected="0">
            <x v="0"/>
          </reference>
          <reference field="3" count="1" selected="0">
            <x v="4"/>
          </reference>
        </references>
      </pivotArea>
    </chartFormat>
    <chartFormat chart="2" format="34">
      <pivotArea type="data" outline="0" fieldPosition="0">
        <references count="2">
          <reference field="4294967294" count="1" selected="0">
            <x v="0"/>
          </reference>
          <reference field="3" count="1" selected="0">
            <x v="5"/>
          </reference>
        </references>
      </pivotArea>
    </chartFormat>
    <chartFormat chart="2" format="35" series="1">
      <pivotArea type="data" outline="0" fieldPosition="0">
        <references count="1">
          <reference field="4294967294" count="1" selected="0">
            <x v="1"/>
          </reference>
        </references>
      </pivotArea>
    </chartFormat>
    <chartFormat chart="2" format="36">
      <pivotArea type="data" outline="0" fieldPosition="0">
        <references count="2">
          <reference field="4294967294" count="1" selected="0">
            <x v="1"/>
          </reference>
          <reference field="3" count="1" selected="0">
            <x v="0"/>
          </reference>
        </references>
      </pivotArea>
    </chartFormat>
    <chartFormat chart="2" format="37">
      <pivotArea type="data" outline="0" fieldPosition="0">
        <references count="2">
          <reference field="4294967294" count="1" selected="0">
            <x v="1"/>
          </reference>
          <reference field="3" count="1" selected="0">
            <x v="1"/>
          </reference>
        </references>
      </pivotArea>
    </chartFormat>
    <chartFormat chart="2" format="38">
      <pivotArea type="data" outline="0" fieldPosition="0">
        <references count="2">
          <reference field="4294967294" count="1" selected="0">
            <x v="1"/>
          </reference>
          <reference field="3" count="1" selected="0">
            <x v="2"/>
          </reference>
        </references>
      </pivotArea>
    </chartFormat>
    <chartFormat chart="2" format="39">
      <pivotArea type="data" outline="0" fieldPosition="0">
        <references count="2">
          <reference field="4294967294" count="1" selected="0">
            <x v="1"/>
          </reference>
          <reference field="3" count="1" selected="0">
            <x v="3"/>
          </reference>
        </references>
      </pivotArea>
    </chartFormat>
    <chartFormat chart="2" format="40">
      <pivotArea type="data" outline="0" fieldPosition="0">
        <references count="2">
          <reference field="4294967294" count="1" selected="0">
            <x v="1"/>
          </reference>
          <reference field="3" count="1" selected="0">
            <x v="4"/>
          </reference>
        </references>
      </pivotArea>
    </chartFormat>
    <chartFormat chart="2" format="41">
      <pivotArea type="data" outline="0" fieldPosition="0">
        <references count="2">
          <reference field="4294967294" count="1" selected="0">
            <x v="1"/>
          </reference>
          <reference field="3" count="1" selected="0">
            <x v="5"/>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89444D-840E-4EC1-9E3C-31AC1BC19214}" name="PivotTable8"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Department">
  <location ref="B3:B4" firstHeaderRow="1" firstDataRow="1" firstDataCol="0"/>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dataField="1" numFmtId="166" showAll="0"/>
    <pivotField showAll="0"/>
    <pivotField numFmtId="1" showAll="0"/>
    <pivotField showAll="0"/>
    <pivotField showAll="0">
      <items count="4">
        <item x="0"/>
        <item x="1"/>
        <item h="1" x="2"/>
        <item t="default"/>
      </items>
    </pivotField>
    <pivotField numFmtId="1" showAll="0"/>
    <pivotField showAll="0">
      <items count="6">
        <item x="2"/>
        <item x="0"/>
        <item x="3"/>
        <item x="1"/>
        <item x="4"/>
        <item t="default"/>
      </items>
    </pivotField>
    <pivotField numFmtId="9" showAll="0"/>
    <pivotField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Salary" fld="5" baseField="0" baseItem="0" numFmtId="42"/>
  </dataFields>
  <formats count="2">
    <format dxfId="13">
      <pivotArea outline="0" collapsedLevelsAreSubtotals="1" fieldPosition="0"/>
    </format>
    <format dxfId="12">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942E94-8EA8-4B07-B8B6-50B1874AE712}" name="PivotTable14" cacheId="1" applyNumberFormats="0" applyBorderFormats="0" applyFontFormats="0" applyPatternFormats="0" applyAlignmentFormats="0" applyWidthHeightFormats="1" dataCaption="Values" updatedVersion="7" minRefreshableVersion="3" useAutoFormatting="1" rowGrandTotals="0" itemPrintTitles="1" createdVersion="5" indent="0" compact="0" compactData="0" multipleFieldFilters="0" chartFormat="14" rowHeaderCaption="Years of Service">
  <location ref="E30:G44" firstHeaderRow="1" firstDataRow="1" firstDataCol="2" rowPageCount="1" colPageCount="1"/>
  <pivotFields count="16">
    <pivotField dataField="1" compact="0" outline="0" showAll="0"/>
    <pivotField compact="0" outline="0" showAll="0"/>
    <pivotField compact="0" outline="0" showAll="0"/>
    <pivotField axis="axisRow" compact="0" outline="0" showAll="0" sortType="ascending">
      <items count="7">
        <item x="2"/>
        <item x="5"/>
        <item x="0"/>
        <item x="1"/>
        <item x="3"/>
        <item x="4"/>
        <item t="default"/>
      </items>
      <autoSortScope>
        <pivotArea dataOnly="0" outline="0" fieldPosition="0">
          <references count="1">
            <reference field="4294967294" count="1" selected="0">
              <x v="0"/>
            </reference>
          </references>
        </pivotArea>
      </autoSortScope>
    </pivotField>
    <pivotField compact="0" numFmtId="165" outline="0" showAll="0">
      <items count="15">
        <item x="0"/>
        <item x="1"/>
        <item x="2"/>
        <item x="3"/>
        <item x="4"/>
        <item x="5"/>
        <item x="6"/>
        <item x="7"/>
        <item x="8"/>
        <item x="9"/>
        <item x="10"/>
        <item x="11"/>
        <item x="12"/>
        <item x="13"/>
        <item t="default"/>
      </items>
    </pivotField>
    <pivotField compact="0" numFmtId="166" outline="0" showAll="0"/>
    <pivotField compact="0" outline="0" showAll="0"/>
    <pivotField compact="0" numFmtId="1" outline="0" showAll="0">
      <items count="42">
        <item x="38"/>
        <item x="28"/>
        <item x="29"/>
        <item x="15"/>
        <item x="21"/>
        <item x="4"/>
        <item x="27"/>
        <item x="6"/>
        <item x="10"/>
        <item x="5"/>
        <item x="0"/>
        <item x="2"/>
        <item x="35"/>
        <item x="8"/>
        <item x="37"/>
        <item x="9"/>
        <item x="26"/>
        <item x="11"/>
        <item x="1"/>
        <item x="22"/>
        <item x="3"/>
        <item x="18"/>
        <item x="16"/>
        <item x="39"/>
        <item x="40"/>
        <item x="23"/>
        <item x="13"/>
        <item x="24"/>
        <item x="7"/>
        <item x="19"/>
        <item x="20"/>
        <item x="17"/>
        <item x="12"/>
        <item x="31"/>
        <item x="14"/>
        <item x="32"/>
        <item x="25"/>
        <item x="34"/>
        <item x="30"/>
        <item x="36"/>
        <item x="33"/>
        <item t="default"/>
      </items>
    </pivotField>
    <pivotField compact="0" outline="0" showAll="0"/>
    <pivotField axis="axisRow" compact="0" outline="0" showAll="0">
      <items count="4">
        <item x="0"/>
        <item x="1"/>
        <item h="1" x="2"/>
        <item t="default"/>
      </items>
    </pivotField>
    <pivotField compact="0" numFmtId="1" outline="0" showAll="0">
      <items count="11">
        <item x="5"/>
        <item x="3"/>
        <item x="1"/>
        <item x="6"/>
        <item x="4"/>
        <item x="8"/>
        <item x="0"/>
        <item x="7"/>
        <item x="2"/>
        <item x="9"/>
        <item t="default"/>
      </items>
    </pivotField>
    <pivotField compact="0" outline="0" multipleItemSelectionAllowed="1" showAll="0">
      <items count="6">
        <item x="2"/>
        <item x="0"/>
        <item x="3"/>
        <item x="1"/>
        <item x="4"/>
        <item t="default"/>
      </items>
    </pivotField>
    <pivotField compact="0" numFmtId="9" outline="0" showAll="0"/>
    <pivotField compact="0" numFmtId="166" outline="0" showAll="0"/>
    <pivotField compact="0" outline="0" showAll="0">
      <items count="7">
        <item sd="0" x="0"/>
        <item sd="0" x="1"/>
        <item sd="0" x="2"/>
        <item sd="0" x="3"/>
        <item sd="0" x="4"/>
        <item sd="0" x="5"/>
        <item t="default"/>
      </items>
    </pivotField>
    <pivotField axis="axisPage" compact="0" outline="0" multipleItemSelectionAllowed="1" showAll="0">
      <items count="12">
        <item sd="0" x="0"/>
        <item sd="0" x="1"/>
        <item sd="0" x="2"/>
        <item sd="0" x="3"/>
        <item sd="0" x="4"/>
        <item sd="0" x="5"/>
        <item sd="0" x="6"/>
        <item sd="0" x="7"/>
        <item sd="0" x="8"/>
        <item sd="0" x="9"/>
        <item sd="0" x="10"/>
        <item t="default"/>
      </items>
    </pivotField>
  </pivotFields>
  <rowFields count="2">
    <field x="9"/>
    <field x="3"/>
  </rowFields>
  <rowItems count="14">
    <i>
      <x/>
      <x/>
    </i>
    <i r="1">
      <x v="1"/>
    </i>
    <i r="1">
      <x v="3"/>
    </i>
    <i r="1">
      <x v="4"/>
    </i>
    <i r="1">
      <x v="5"/>
    </i>
    <i r="1">
      <x v="2"/>
    </i>
    <i t="default">
      <x/>
    </i>
    <i>
      <x v="1"/>
      <x v="1"/>
    </i>
    <i r="1">
      <x/>
    </i>
    <i r="1">
      <x v="3"/>
    </i>
    <i r="1">
      <x v="5"/>
    </i>
    <i r="1">
      <x v="2"/>
    </i>
    <i r="1">
      <x v="4"/>
    </i>
    <i t="default">
      <x v="1"/>
    </i>
  </rowItems>
  <colItems count="1">
    <i/>
  </colItems>
  <pageFields count="1">
    <pageField fld="15" hier="-1"/>
  </pageFields>
  <dataFields count="1">
    <dataField name="Count of Emp ID" fld="0" subtotal="count" baseField="0" baseItem="0"/>
  </dataFields>
  <formats count="1">
    <format dxfId="14">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1"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rowHeaderCaption="Department">
  <location ref="A3:A4" firstHeaderRow="1" firstDataRow="1" firstDataCol="0"/>
  <pivotFields count="16">
    <pivotField dataField="1"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numFmtId="166" showAll="0"/>
    <pivotField showAll="0"/>
    <pivotField numFmtId="1" showAll="0"/>
    <pivotField showAll="0"/>
    <pivotField showAll="0">
      <items count="4">
        <item x="0"/>
        <item x="1"/>
        <item h="1" x="2"/>
        <item t="default"/>
      </items>
    </pivotField>
    <pivotField numFmtId="1" showAll="0"/>
    <pivotField showAll="0">
      <items count="6">
        <item x="2"/>
        <item x="0"/>
        <item x="3"/>
        <item x="1"/>
        <item x="4"/>
        <item t="default"/>
      </items>
    </pivotField>
    <pivotField numFmtId="9" showAll="0"/>
    <pivotField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Head Count" fld="0" subtotal="count" baseField="0" baseItem="0"/>
  </dataFields>
  <formats count="1">
    <format dxfId="15">
      <pivotArea outline="0" collapsedLevelsAreSubtotals="1"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6337F1-5DDE-49D6-B7AC-7E34266F0A35}" name="PivotTable6" cacheId="1" applyNumberFormats="0" applyBorderFormats="0" applyFontFormats="0" applyPatternFormats="0" applyAlignmentFormats="0" applyWidthHeightFormats="1" dataCaption="Values" updatedVersion="7" minRefreshableVersion="3" useAutoFormatting="1" rowGrandTotals="0" itemPrintTitles="1" createdVersion="5" indent="0" outline="1" outlineData="1" multipleFieldFilters="0" chartFormat="17" rowHeaderCaption="Performance Band">
  <location ref="E19:F24" firstHeaderRow="1" firstDataRow="1" firstDataCol="1"/>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numFmtId="166" showAll="0"/>
    <pivotField showAll="0"/>
    <pivotField numFmtId="1" showAll="0">
      <items count="42">
        <item x="38"/>
        <item x="28"/>
        <item x="29"/>
        <item x="15"/>
        <item x="21"/>
        <item x="4"/>
        <item x="27"/>
        <item x="6"/>
        <item x="10"/>
        <item x="5"/>
        <item x="0"/>
        <item x="2"/>
        <item x="35"/>
        <item x="8"/>
        <item x="37"/>
        <item x="9"/>
        <item x="26"/>
        <item x="11"/>
        <item x="1"/>
        <item x="22"/>
        <item x="3"/>
        <item x="18"/>
        <item x="16"/>
        <item x="39"/>
        <item x="40"/>
        <item x="23"/>
        <item x="13"/>
        <item x="24"/>
        <item x="7"/>
        <item x="19"/>
        <item x="20"/>
        <item x="17"/>
        <item x="12"/>
        <item x="31"/>
        <item x="14"/>
        <item x="32"/>
        <item x="25"/>
        <item x="34"/>
        <item x="30"/>
        <item x="36"/>
        <item x="33"/>
        <item t="default"/>
      </items>
    </pivotField>
    <pivotField showAll="0"/>
    <pivotField showAll="0">
      <items count="4">
        <item x="0"/>
        <item x="1"/>
        <item h="1" x="2"/>
        <item t="default"/>
      </items>
    </pivotField>
    <pivotField numFmtId="1" showAll="0"/>
    <pivotField axis="axisRow"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numFmtId="9" showAll="0"/>
    <pivotField dataField="1"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1"/>
  </rowFields>
  <rowItems count="5">
    <i>
      <x v="3"/>
    </i>
    <i>
      <x v="4"/>
    </i>
    <i>
      <x v="2"/>
    </i>
    <i>
      <x/>
    </i>
    <i>
      <x v="1"/>
    </i>
  </rowItems>
  <colItems count="1">
    <i/>
  </colItems>
  <dataFields count="1">
    <dataField name="Total of Eligible Bonus Amount" fld="13" baseField="0" baseItem="0"/>
  </dataFields>
  <formats count="1">
    <format dxfId="16">
      <pivotArea collapsedLevelsAreSubtotals="1" fieldPosition="0">
        <references count="1">
          <reference field="11" count="0"/>
        </references>
      </pivotArea>
    </format>
  </formats>
  <chartFormats count="2">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E7C721-9A26-49F6-942E-0AAF530E93C2}" name="PivotTable11" cacheId="1" applyNumberFormats="0" applyBorderFormats="0" applyFontFormats="0" applyPatternFormats="0" applyAlignmentFormats="0" applyWidthHeightFormats="1" dataCaption="Values" updatedVersion="7" minRefreshableVersion="3" useAutoFormatting="1" rowGrandTotals="0" itemPrintTitles="1" createdVersion="5" indent="0" outline="1" outlineData="1" multipleFieldFilters="0" chartFormat="3" rowHeaderCaption="Performance Band">
  <location ref="E13:F15" firstHeaderRow="1" firstDataRow="1" firstDataCol="1"/>
  <pivotFields count="16">
    <pivotField showAll="0"/>
    <pivotField showAll="0"/>
    <pivotField showAll="0"/>
    <pivotField showAll="0">
      <items count="7">
        <item x="2"/>
        <item x="5"/>
        <item x="0"/>
        <item x="1"/>
        <item x="3"/>
        <item x="4"/>
        <item t="default"/>
      </items>
    </pivotField>
    <pivotField numFmtId="165" showAll="0">
      <items count="15">
        <item x="0"/>
        <item x="1"/>
        <item x="2"/>
        <item x="3"/>
        <item x="4"/>
        <item x="5"/>
        <item x="6"/>
        <item x="7"/>
        <item x="8"/>
        <item x="9"/>
        <item x="10"/>
        <item x="11"/>
        <item x="12"/>
        <item x="13"/>
        <item t="default"/>
      </items>
    </pivotField>
    <pivotField numFmtId="166" showAll="0"/>
    <pivotField showAll="0"/>
    <pivotField dataField="1" numFmtId="1" showAll="0">
      <items count="42">
        <item x="38"/>
        <item x="28"/>
        <item x="29"/>
        <item x="15"/>
        <item x="21"/>
        <item x="4"/>
        <item x="27"/>
        <item x="6"/>
        <item x="10"/>
        <item x="5"/>
        <item x="0"/>
        <item x="2"/>
        <item x="35"/>
        <item x="8"/>
        <item x="37"/>
        <item x="9"/>
        <item x="26"/>
        <item x="11"/>
        <item x="1"/>
        <item x="22"/>
        <item x="3"/>
        <item x="18"/>
        <item x="16"/>
        <item x="39"/>
        <item x="40"/>
        <item x="23"/>
        <item x="13"/>
        <item x="24"/>
        <item x="7"/>
        <item x="19"/>
        <item x="20"/>
        <item x="17"/>
        <item x="12"/>
        <item x="31"/>
        <item x="14"/>
        <item x="32"/>
        <item x="25"/>
        <item x="34"/>
        <item x="30"/>
        <item x="36"/>
        <item x="33"/>
        <item t="default"/>
      </items>
    </pivotField>
    <pivotField showAll="0"/>
    <pivotField axis="axisRow" showAll="0">
      <items count="4">
        <item x="0"/>
        <item x="1"/>
        <item h="1" x="2"/>
        <item t="default"/>
      </items>
    </pivotField>
    <pivotField numFmtId="1" showAll="0"/>
    <pivotField showAll="0">
      <items count="6">
        <item x="2"/>
        <item x="0"/>
        <item x="3"/>
        <item x="1"/>
        <item x="4"/>
        <item t="default"/>
      </items>
    </pivotField>
    <pivotField numFmtId="9" showAll="0"/>
    <pivotField numFmtId="166"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9"/>
  </rowFields>
  <rowItems count="2">
    <i>
      <x/>
    </i>
    <i>
      <x v="1"/>
    </i>
  </rowItems>
  <colItems count="1">
    <i/>
  </colItems>
  <dataFields count="1">
    <dataField name="Count of Perf_Score" fld="7" subtotal="count" showDataAs="percentOfTotal" baseField="9" baseItem="0" numFmtId="10"/>
  </dataFields>
  <chartFormats count="4">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9" count="1" selected="0">
            <x v="0"/>
          </reference>
        </references>
      </pivotArea>
    </chartFormat>
    <chartFormat chart="1" format="6">
      <pivotArea type="data" outline="0" fieldPosition="0">
        <references count="2">
          <reference field="4294967294" count="1" selected="0">
            <x v="0"/>
          </reference>
          <reference field="9" count="1" selected="0">
            <x v="1"/>
          </reference>
        </references>
      </pivotArea>
    </chartFormat>
    <chartFormat chart="1" format="7">
      <pivotArea type="data" outline="0" fieldPosition="0">
        <references count="2">
          <reference field="4294967294" count="1" selected="0">
            <x v="0"/>
          </reference>
          <reference field="9" count="1" selected="0">
            <x v="2"/>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F511558-E231-4F85-AB9D-E5FA6A54E99C}" sourceName="Department">
  <pivotTables>
    <pivotTable tabId="7" name="PivotTable3"/>
    <pivotTable tabId="7" name="PivotTable11"/>
    <pivotTable tabId="7" name="PivotTable14"/>
    <pivotTable tabId="7" name="PivotTable2"/>
    <pivotTable tabId="7" name="PivotTable4"/>
    <pivotTable tabId="7" name="PivotTable6"/>
    <pivotTable tabId="7" name="PivotTable8"/>
    <pivotTable tabId="7" name="PivotTable9"/>
    <pivotTable tabId="7" name="PivotTable10"/>
    <pivotTable tabId="7" name="PivotTable13"/>
  </pivotTables>
  <data>
    <tabular pivotCacheId="1771001788">
      <items count="6">
        <i x="2" s="1"/>
        <i x="5"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16BB2C73-7FE9-4EC6-A9C3-65E7F02CC56C}" sourceName="Employment Status">
  <pivotTables>
    <pivotTable tabId="7" name="PivotTable3"/>
    <pivotTable tabId="7" name="PivotTable11"/>
    <pivotTable tabId="7" name="PivotTable14"/>
    <pivotTable tabId="7" name="PivotTable2"/>
    <pivotTable tabId="7" name="PivotTable4"/>
    <pivotTable tabId="7" name="PivotTable6"/>
    <pivotTable tabId="7" name="PivotTable8"/>
    <pivotTable tabId="7" name="PivotTable9"/>
    <pivotTable tabId="7" name="PivotTable10"/>
    <pivotTable tabId="7" name="PivotTable13"/>
  </pivotTables>
  <data>
    <tabular pivotCacheId="1771001788">
      <items count="3">
        <i x="0" s="1"/>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62D7F3D-EEBD-4047-B69E-6567CDB5DEAC}" sourceName="Years">
  <pivotTables>
    <pivotTable tabId="7" name="PivotTable3"/>
    <pivotTable tabId="7" name="PivotTable11"/>
    <pivotTable tabId="7" name="PivotTable14"/>
    <pivotTable tabId="7" name="PivotTable2"/>
    <pivotTable tabId="7" name="PivotTable4"/>
    <pivotTable tabId="7" name="PivotTable6"/>
    <pivotTable tabId="7" name="PivotTable8"/>
    <pivotTable tabId="7" name="PivotTable9"/>
    <pivotTable tabId="7" name="PivotTable10"/>
    <pivotTable tabId="7" name="PivotTable13"/>
  </pivotTables>
  <data>
    <tabular pivotCacheId="1771001788">
      <items count="11">
        <i x="1" s="1"/>
        <i x="2" s="1"/>
        <i x="3" s="1"/>
        <i x="4" s="1"/>
        <i x="5" s="1"/>
        <i x="6" s="1"/>
        <i x="7" s="1"/>
        <i x="8" s="1"/>
        <i x="9" s="1"/>
        <i x="0"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Band" xr10:uid="{E74F5C8D-E727-461D-9099-0D8D8F2C2F89}" sourceName="Performance Band">
  <pivotTables>
    <pivotTable tabId="7" name="PivotTable3"/>
    <pivotTable tabId="7" name="PivotTable11"/>
    <pivotTable tabId="7" name="PivotTable14"/>
    <pivotTable tabId="7" name="PivotTable2"/>
    <pivotTable tabId="7" name="PivotTable4"/>
    <pivotTable tabId="7" name="PivotTable6"/>
    <pivotTable tabId="7" name="PivotTable8"/>
    <pivotTable tabId="7" name="PivotTable9"/>
    <pivotTable tabId="7" name="PivotTable10"/>
    <pivotTable tabId="7" name="PivotTable13"/>
  </pivotTables>
  <data>
    <tabular pivotCacheId="1771001788">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8FB4B6E-7E1A-4708-8093-603AE40524C5}" cache="Slicer_Department" caption="Department" columnCount="2" style="SlicerStyleLight5" rowHeight="216000"/>
  <slicer name="Employment Status" xr10:uid="{2214B3CF-010F-4A60-BCC9-C6F7B1F61BBF}" cache="Slicer_Employment_Status" caption="Employment Status" style="SlicerStyleLight5" rowHeight="216000"/>
  <slicer name="Years" xr10:uid="{945B8115-62BF-43F2-AE64-F496E82FDB62}" cache="Slicer_Years" caption="Years" columnCount="2" style="SlicerStyleLight5" rowHeight="241300"/>
  <slicer name="Performance Band" xr10:uid="{28D883F7-7406-4483-9AFC-6571E65901BD}" cache="Slicer_Performance_Band" caption="Performance Band" columnCount="2" style="SlicerStyleLight5"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Data" displayName="HrData" ref="B1:O151" totalsRowShown="0">
  <autoFilter ref="B1:O151" xr:uid="{00000000-0009-0000-0100-000001000000}"/>
  <tableColumns count="14">
    <tableColumn id="1" xr3:uid="{00000000-0010-0000-0000-000001000000}" name="Emp ID" dataDxfId="30"/>
    <tableColumn id="2" xr3:uid="{00000000-0010-0000-0000-000002000000}" name="Full Name" dataDxfId="29"/>
    <tableColumn id="3" xr3:uid="{00000000-0010-0000-0000-000003000000}" name="Dept Code" dataDxfId="28"/>
    <tableColumn id="4" xr3:uid="{00000000-0010-0000-0000-000004000000}" name="Department" dataDxfId="27"/>
    <tableColumn id="5" xr3:uid="{00000000-0010-0000-0000-000005000000}" name="Hire Date" dataDxfId="26"/>
    <tableColumn id="6" xr3:uid="{00000000-0010-0000-0000-000006000000}" name="Salary" dataDxfId="25"/>
    <tableColumn id="7" xr3:uid="{00000000-0010-0000-0000-000007000000}" name="Average Salary" dataDxfId="24"/>
    <tableColumn id="8" xr3:uid="{00000000-0010-0000-0000-000008000000}" name="Perf_Score" dataDxfId="23"/>
    <tableColumn id="9" xr3:uid="{00000000-0010-0000-0000-000009000000}" name="Aveage score" dataDxfId="22"/>
    <tableColumn id="10" xr3:uid="{00000000-0010-0000-0000-00000A000000}" name="Employment Status" dataDxfId="21"/>
    <tableColumn id="11" xr3:uid="{00000000-0010-0000-0000-00000B000000}" name="Years of Service" dataDxfId="20"/>
    <tableColumn id="12" xr3:uid="{00000000-0010-0000-0000-00000C000000}" name="Performance Band" dataDxfId="19"/>
    <tableColumn id="13" xr3:uid="{00000000-0010-0000-0000-00000D000000}" name="Eligible Bonus Percentage" dataDxfId="18"/>
    <tableColumn id="14" xr3:uid="{00000000-0010-0000-0000-00000E000000}" name="Eligible Bonus Amount" dataDxfId="1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sheetData>
    <row r="1" spans="1:2" x14ac:dyDescent="0.35">
      <c r="A1" s="1" t="s">
        <v>287</v>
      </c>
      <c r="B1" s="1" t="s">
        <v>288</v>
      </c>
    </row>
    <row r="2" spans="1:2" x14ac:dyDescent="0.35">
      <c r="A2" t="s">
        <v>97</v>
      </c>
      <c r="B2" t="s">
        <v>289</v>
      </c>
    </row>
    <row r="3" spans="1:2" x14ac:dyDescent="0.35">
      <c r="A3" t="s">
        <v>11</v>
      </c>
      <c r="B3" t="s">
        <v>290</v>
      </c>
    </row>
    <row r="4" spans="1:2" x14ac:dyDescent="0.35">
      <c r="A4" t="s">
        <v>26</v>
      </c>
      <c r="B4" t="s">
        <v>291</v>
      </c>
    </row>
    <row r="5" spans="1:2" x14ac:dyDescent="0.35">
      <c r="A5" t="s">
        <v>16</v>
      </c>
      <c r="B5" t="s">
        <v>292</v>
      </c>
    </row>
    <row r="6" spans="1:2" x14ac:dyDescent="0.35">
      <c r="A6" t="s">
        <v>44</v>
      </c>
      <c r="B6" t="s">
        <v>293</v>
      </c>
    </row>
    <row r="7" spans="1:2" x14ac:dyDescent="0.35">
      <c r="A7" t="s">
        <v>33</v>
      </c>
      <c r="B7" t="s">
        <v>294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H8" sqref="H8:H10"/>
    </sheetView>
  </sheetViews>
  <sheetFormatPr defaultRowHeight="14.5" x14ac:dyDescent="0.35"/>
  <sheetData>
    <row r="1" spans="1:4" x14ac:dyDescent="0.35">
      <c r="A1" s="1" t="s">
        <v>295</v>
      </c>
      <c r="B1" s="1" t="s">
        <v>296</v>
      </c>
      <c r="C1" s="1" t="s">
        <v>297</v>
      </c>
      <c r="D1" s="1" t="s">
        <v>298</v>
      </c>
    </row>
    <row r="2" spans="1:4" x14ac:dyDescent="0.35">
      <c r="A2">
        <v>0</v>
      </c>
      <c r="B2">
        <v>49</v>
      </c>
      <c r="C2" t="s">
        <v>299</v>
      </c>
      <c r="D2">
        <v>0</v>
      </c>
    </row>
    <row r="3" spans="1:4" x14ac:dyDescent="0.35">
      <c r="A3">
        <v>50</v>
      </c>
      <c r="B3">
        <v>69</v>
      </c>
      <c r="C3" t="s">
        <v>300</v>
      </c>
      <c r="D3">
        <v>0.02</v>
      </c>
    </row>
    <row r="4" spans="1:4" x14ac:dyDescent="0.35">
      <c r="A4">
        <v>70</v>
      </c>
      <c r="B4">
        <v>84</v>
      </c>
      <c r="C4" t="s">
        <v>301</v>
      </c>
      <c r="D4">
        <v>0.05</v>
      </c>
    </row>
    <row r="5" spans="1:4" x14ac:dyDescent="0.35">
      <c r="A5">
        <v>85</v>
      </c>
      <c r="B5">
        <v>94</v>
      </c>
      <c r="C5" t="s">
        <v>302</v>
      </c>
      <c r="D5">
        <v>0.08</v>
      </c>
    </row>
    <row r="6" spans="1:4" x14ac:dyDescent="0.35">
      <c r="A6">
        <v>95</v>
      </c>
      <c r="B6">
        <v>100</v>
      </c>
      <c r="C6" t="s">
        <v>303</v>
      </c>
      <c r="D6">
        <v>0.12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H158"/>
  <sheetViews>
    <sheetView tabSelected="1" workbookViewId="0">
      <selection sqref="A1:A1048576"/>
    </sheetView>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s="2">
        <v>43093</v>
      </c>
      <c r="F2">
        <v>50361</v>
      </c>
      <c r="G2">
        <v>52</v>
      </c>
      <c r="H2" t="s">
        <v>12</v>
      </c>
    </row>
    <row r="3" spans="1:8" x14ac:dyDescent="0.35">
      <c r="A3" t="s">
        <v>13</v>
      </c>
      <c r="B3" t="s">
        <v>14</v>
      </c>
      <c r="C3" t="s">
        <v>15</v>
      </c>
      <c r="D3" t="s">
        <v>16</v>
      </c>
      <c r="E3" s="2">
        <v>44659</v>
      </c>
      <c r="F3">
        <v>112673</v>
      </c>
      <c r="H3" t="s">
        <v>17</v>
      </c>
    </row>
    <row r="4" spans="1:8" x14ac:dyDescent="0.35">
      <c r="A4" t="s">
        <v>18</v>
      </c>
      <c r="B4" t="s">
        <v>9</v>
      </c>
      <c r="C4" t="s">
        <v>19</v>
      </c>
      <c r="D4" t="s">
        <v>20</v>
      </c>
      <c r="E4" s="2">
        <v>42431</v>
      </c>
      <c r="F4" t="s">
        <v>21</v>
      </c>
      <c r="G4">
        <v>54</v>
      </c>
      <c r="H4" t="s">
        <v>22</v>
      </c>
    </row>
    <row r="5" spans="1:8" x14ac:dyDescent="0.35">
      <c r="A5" t="s">
        <v>23</v>
      </c>
      <c r="B5" t="s">
        <v>24</v>
      </c>
      <c r="C5" t="s">
        <v>25</v>
      </c>
      <c r="D5" t="s">
        <v>26</v>
      </c>
      <c r="E5" s="2">
        <v>45110</v>
      </c>
      <c r="F5">
        <v>103831</v>
      </c>
      <c r="G5">
        <v>70</v>
      </c>
      <c r="H5" t="s">
        <v>12</v>
      </c>
    </row>
    <row r="6" spans="1:8" x14ac:dyDescent="0.35">
      <c r="A6" t="s">
        <v>27</v>
      </c>
      <c r="B6" t="s">
        <v>28</v>
      </c>
      <c r="C6" t="s">
        <v>29</v>
      </c>
      <c r="D6" t="s">
        <v>11</v>
      </c>
      <c r="E6" s="2">
        <v>44977</v>
      </c>
      <c r="F6">
        <v>73785</v>
      </c>
      <c r="G6">
        <v>40</v>
      </c>
      <c r="H6" t="s">
        <v>30</v>
      </c>
    </row>
    <row r="7" spans="1:8" x14ac:dyDescent="0.35">
      <c r="A7" t="s">
        <v>31</v>
      </c>
      <c r="B7" t="s">
        <v>9</v>
      </c>
      <c r="C7" t="s">
        <v>32</v>
      </c>
      <c r="D7" t="s">
        <v>33</v>
      </c>
      <c r="E7" t="s">
        <v>34</v>
      </c>
      <c r="F7">
        <v>115882</v>
      </c>
      <c r="G7">
        <v>49</v>
      </c>
      <c r="H7" t="s">
        <v>17</v>
      </c>
    </row>
    <row r="8" spans="1:8" x14ac:dyDescent="0.35">
      <c r="A8" t="s">
        <v>35</v>
      </c>
      <c r="B8" t="s">
        <v>24</v>
      </c>
      <c r="C8" t="s">
        <v>36</v>
      </c>
      <c r="D8" t="s">
        <v>37</v>
      </c>
      <c r="E8" s="2">
        <v>45272</v>
      </c>
      <c r="F8">
        <v>59980</v>
      </c>
      <c r="G8">
        <v>70</v>
      </c>
      <c r="H8" t="s">
        <v>30</v>
      </c>
    </row>
    <row r="9" spans="1:8" x14ac:dyDescent="0.35">
      <c r="A9" t="s">
        <v>38</v>
      </c>
      <c r="B9" t="s">
        <v>39</v>
      </c>
      <c r="C9" t="s">
        <v>29</v>
      </c>
      <c r="D9" t="s">
        <v>37</v>
      </c>
      <c r="E9" s="2">
        <v>44174</v>
      </c>
      <c r="F9">
        <v>68728</v>
      </c>
      <c r="G9">
        <v>45</v>
      </c>
      <c r="H9" t="s">
        <v>17</v>
      </c>
    </row>
    <row r="10" spans="1:8" x14ac:dyDescent="0.35">
      <c r="A10" t="s">
        <v>40</v>
      </c>
      <c r="C10" t="s">
        <v>41</v>
      </c>
      <c r="D10" t="s">
        <v>26</v>
      </c>
      <c r="E10" s="2">
        <v>43107</v>
      </c>
      <c r="F10">
        <v>102139</v>
      </c>
      <c r="G10">
        <v>79</v>
      </c>
      <c r="H10" t="s">
        <v>12</v>
      </c>
    </row>
    <row r="11" spans="1:8" x14ac:dyDescent="0.35">
      <c r="A11" t="s">
        <v>42</v>
      </c>
      <c r="B11" t="s">
        <v>43</v>
      </c>
      <c r="C11" t="s">
        <v>25</v>
      </c>
      <c r="D11" t="s">
        <v>44</v>
      </c>
      <c r="E11" s="2">
        <v>42676</v>
      </c>
      <c r="F11">
        <v>94998</v>
      </c>
      <c r="G11">
        <v>58</v>
      </c>
      <c r="H11" t="s">
        <v>45</v>
      </c>
    </row>
    <row r="12" spans="1:8" x14ac:dyDescent="0.35">
      <c r="A12" t="s">
        <v>46</v>
      </c>
      <c r="B12" t="s">
        <v>9</v>
      </c>
      <c r="C12" t="s">
        <v>47</v>
      </c>
      <c r="D12" t="s">
        <v>48</v>
      </c>
      <c r="E12" s="2">
        <v>43911</v>
      </c>
      <c r="F12" t="s">
        <v>49</v>
      </c>
      <c r="G12">
        <v>49</v>
      </c>
      <c r="H12" t="s">
        <v>45</v>
      </c>
    </row>
    <row r="13" spans="1:8" x14ac:dyDescent="0.35">
      <c r="A13" t="s">
        <v>50</v>
      </c>
      <c r="B13" t="s">
        <v>9</v>
      </c>
      <c r="C13" t="s">
        <v>15</v>
      </c>
      <c r="D13" t="s">
        <v>11</v>
      </c>
      <c r="E13" s="2">
        <v>42425</v>
      </c>
      <c r="F13">
        <v>76918</v>
      </c>
      <c r="G13">
        <v>62</v>
      </c>
      <c r="H13" t="s">
        <v>51</v>
      </c>
    </row>
    <row r="14" spans="1:8" x14ac:dyDescent="0.35">
      <c r="A14" t="s">
        <v>52</v>
      </c>
      <c r="B14" t="s">
        <v>53</v>
      </c>
      <c r="C14" t="s">
        <v>54</v>
      </c>
      <c r="D14" t="s">
        <v>55</v>
      </c>
      <c r="E14" t="s">
        <v>56</v>
      </c>
      <c r="F14">
        <v>61408</v>
      </c>
      <c r="G14">
        <v>48</v>
      </c>
      <c r="H14" t="s">
        <v>17</v>
      </c>
    </row>
    <row r="15" spans="1:8" x14ac:dyDescent="0.35">
      <c r="A15" t="s">
        <v>57</v>
      </c>
      <c r="B15" t="s">
        <v>53</v>
      </c>
      <c r="C15" t="s">
        <v>47</v>
      </c>
      <c r="D15" t="s">
        <v>16</v>
      </c>
      <c r="E15" s="2">
        <v>44001</v>
      </c>
      <c r="F15">
        <v>99990</v>
      </c>
      <c r="G15">
        <v>54</v>
      </c>
      <c r="H15" t="s">
        <v>51</v>
      </c>
    </row>
    <row r="16" spans="1:8" x14ac:dyDescent="0.35">
      <c r="A16" t="s">
        <v>58</v>
      </c>
      <c r="B16" t="s">
        <v>59</v>
      </c>
      <c r="C16" t="s">
        <v>60</v>
      </c>
      <c r="D16" t="s">
        <v>61</v>
      </c>
      <c r="E16" s="2">
        <v>43820</v>
      </c>
      <c r="F16">
        <v>80385</v>
      </c>
      <c r="H16" t="s">
        <v>12</v>
      </c>
    </row>
    <row r="17" spans="1:8" x14ac:dyDescent="0.35">
      <c r="A17" t="s">
        <v>62</v>
      </c>
      <c r="B17" t="s">
        <v>28</v>
      </c>
      <c r="C17" t="s">
        <v>41</v>
      </c>
      <c r="D17" t="s">
        <v>44</v>
      </c>
      <c r="E17" s="2">
        <v>45169</v>
      </c>
      <c r="F17">
        <v>65290</v>
      </c>
      <c r="G17">
        <v>77</v>
      </c>
      <c r="H17" t="s">
        <v>12</v>
      </c>
    </row>
    <row r="18" spans="1:8" x14ac:dyDescent="0.35">
      <c r="A18" t="s">
        <v>63</v>
      </c>
      <c r="B18" t="s">
        <v>9</v>
      </c>
      <c r="C18" t="s">
        <v>64</v>
      </c>
      <c r="D18" t="s">
        <v>11</v>
      </c>
      <c r="E18" s="2">
        <v>42337</v>
      </c>
      <c r="F18">
        <v>105765</v>
      </c>
      <c r="G18">
        <v>42</v>
      </c>
      <c r="H18" t="s">
        <v>45</v>
      </c>
    </row>
    <row r="19" spans="1:8" x14ac:dyDescent="0.35">
      <c r="A19" t="s">
        <v>65</v>
      </c>
      <c r="B19" t="s">
        <v>66</v>
      </c>
      <c r="C19" t="s">
        <v>25</v>
      </c>
      <c r="D19" t="s">
        <v>44</v>
      </c>
      <c r="E19" s="2">
        <v>42899</v>
      </c>
      <c r="F19">
        <v>102921</v>
      </c>
      <c r="G19">
        <v>49</v>
      </c>
      <c r="H19" t="s">
        <v>17</v>
      </c>
    </row>
    <row r="20" spans="1:8" x14ac:dyDescent="0.35">
      <c r="A20" t="s">
        <v>50</v>
      </c>
      <c r="B20" t="s">
        <v>9</v>
      </c>
      <c r="C20" t="s">
        <v>15</v>
      </c>
      <c r="D20" t="s">
        <v>11</v>
      </c>
      <c r="E20" s="2">
        <v>42425</v>
      </c>
      <c r="F20">
        <v>76918</v>
      </c>
      <c r="G20">
        <v>62</v>
      </c>
      <c r="H20" t="s">
        <v>51</v>
      </c>
    </row>
    <row r="21" spans="1:8" x14ac:dyDescent="0.35">
      <c r="A21" t="s">
        <v>67</v>
      </c>
      <c r="B21" t="s">
        <v>68</v>
      </c>
      <c r="C21" t="s">
        <v>69</v>
      </c>
      <c r="D21" t="s">
        <v>16</v>
      </c>
      <c r="E21" s="2">
        <v>43235</v>
      </c>
      <c r="F21">
        <v>73984</v>
      </c>
      <c r="G21">
        <v>93</v>
      </c>
      <c r="H21" t="s">
        <v>51</v>
      </c>
    </row>
    <row r="22" spans="1:8" x14ac:dyDescent="0.35">
      <c r="A22" t="s">
        <v>70</v>
      </c>
      <c r="B22" t="s">
        <v>71</v>
      </c>
      <c r="C22" t="s">
        <v>19</v>
      </c>
      <c r="D22" t="s">
        <v>11</v>
      </c>
      <c r="E22" s="2">
        <v>42575</v>
      </c>
      <c r="G22">
        <v>75</v>
      </c>
      <c r="H22" t="s">
        <v>51</v>
      </c>
    </row>
    <row r="23" spans="1:8" x14ac:dyDescent="0.35">
      <c r="A23" t="s">
        <v>72</v>
      </c>
      <c r="B23" t="s">
        <v>43</v>
      </c>
      <c r="C23" t="s">
        <v>15</v>
      </c>
      <c r="D23" t="s">
        <v>26</v>
      </c>
      <c r="E23" s="2">
        <v>43076</v>
      </c>
      <c r="F23">
        <v>118527</v>
      </c>
      <c r="G23">
        <v>50</v>
      </c>
      <c r="H23" t="s">
        <v>51</v>
      </c>
    </row>
    <row r="24" spans="1:8" x14ac:dyDescent="0.35">
      <c r="A24" t="s">
        <v>73</v>
      </c>
      <c r="B24" t="s">
        <v>14</v>
      </c>
      <c r="C24" t="s">
        <v>15</v>
      </c>
      <c r="D24" t="s">
        <v>16</v>
      </c>
      <c r="E24" s="2">
        <v>44353</v>
      </c>
      <c r="F24">
        <v>107871</v>
      </c>
      <c r="G24">
        <v>88</v>
      </c>
      <c r="H24" t="s">
        <v>12</v>
      </c>
    </row>
    <row r="25" spans="1:8" x14ac:dyDescent="0.35">
      <c r="A25" t="s">
        <v>74</v>
      </c>
      <c r="B25" t="s">
        <v>43</v>
      </c>
      <c r="C25" t="s">
        <v>41</v>
      </c>
      <c r="D25" t="s">
        <v>20</v>
      </c>
      <c r="E25" s="2">
        <v>44815</v>
      </c>
      <c r="F25">
        <v>93956</v>
      </c>
      <c r="G25">
        <v>50</v>
      </c>
      <c r="H25" t="s">
        <v>22</v>
      </c>
    </row>
    <row r="26" spans="1:8" x14ac:dyDescent="0.35">
      <c r="A26" t="s">
        <v>75</v>
      </c>
      <c r="B26" t="s">
        <v>39</v>
      </c>
      <c r="C26" t="s">
        <v>32</v>
      </c>
      <c r="D26" t="s">
        <v>76</v>
      </c>
      <c r="E26" s="2">
        <v>42565</v>
      </c>
      <c r="F26">
        <v>100851</v>
      </c>
      <c r="G26">
        <v>64</v>
      </c>
      <c r="H26" t="s">
        <v>17</v>
      </c>
    </row>
    <row r="27" spans="1:8" x14ac:dyDescent="0.35">
      <c r="A27" t="s">
        <v>77</v>
      </c>
      <c r="B27" t="s">
        <v>68</v>
      </c>
      <c r="C27" t="s">
        <v>54</v>
      </c>
      <c r="D27" t="s">
        <v>44</v>
      </c>
      <c r="E27" s="2">
        <v>44728</v>
      </c>
      <c r="F27">
        <v>68655</v>
      </c>
      <c r="G27">
        <v>32</v>
      </c>
      <c r="H27" t="s">
        <v>12</v>
      </c>
    </row>
    <row r="28" spans="1:8" x14ac:dyDescent="0.35">
      <c r="A28" t="s">
        <v>78</v>
      </c>
      <c r="C28" t="s">
        <v>54</v>
      </c>
      <c r="D28" t="s">
        <v>79</v>
      </c>
      <c r="E28" s="2">
        <v>45134</v>
      </c>
      <c r="F28">
        <v>81205</v>
      </c>
      <c r="G28">
        <v>59</v>
      </c>
      <c r="H28" t="s">
        <v>51</v>
      </c>
    </row>
    <row r="29" spans="1:8" x14ac:dyDescent="0.35">
      <c r="A29" t="s">
        <v>80</v>
      </c>
      <c r="B29" t="s">
        <v>24</v>
      </c>
      <c r="C29" t="s">
        <v>36</v>
      </c>
      <c r="D29" t="s">
        <v>44</v>
      </c>
      <c r="E29" t="s">
        <v>81</v>
      </c>
      <c r="F29" t="s">
        <v>82</v>
      </c>
      <c r="G29">
        <v>88</v>
      </c>
      <c r="H29" t="s">
        <v>51</v>
      </c>
    </row>
    <row r="30" spans="1:8" x14ac:dyDescent="0.35">
      <c r="A30" t="s">
        <v>83</v>
      </c>
      <c r="B30" t="s">
        <v>28</v>
      </c>
      <c r="C30" t="s">
        <v>41</v>
      </c>
      <c r="D30" t="s">
        <v>84</v>
      </c>
      <c r="E30" s="2">
        <v>44765</v>
      </c>
      <c r="F30" t="s">
        <v>85</v>
      </c>
      <c r="G30">
        <v>90</v>
      </c>
      <c r="H30" t="s">
        <v>45</v>
      </c>
    </row>
    <row r="31" spans="1:8" x14ac:dyDescent="0.35">
      <c r="A31" t="s">
        <v>86</v>
      </c>
      <c r="B31" t="s">
        <v>43</v>
      </c>
      <c r="C31" t="s">
        <v>36</v>
      </c>
      <c r="D31" t="s">
        <v>87</v>
      </c>
      <c r="E31" t="s">
        <v>88</v>
      </c>
      <c r="F31">
        <v>85312</v>
      </c>
      <c r="G31">
        <v>66</v>
      </c>
      <c r="H31" t="s">
        <v>12</v>
      </c>
    </row>
    <row r="32" spans="1:8" x14ac:dyDescent="0.35">
      <c r="A32" t="s">
        <v>89</v>
      </c>
      <c r="B32" t="s">
        <v>24</v>
      </c>
      <c r="C32" t="s">
        <v>41</v>
      </c>
      <c r="D32" t="s">
        <v>44</v>
      </c>
      <c r="E32" s="2">
        <v>42202</v>
      </c>
      <c r="G32">
        <v>68</v>
      </c>
      <c r="H32" t="s">
        <v>12</v>
      </c>
    </row>
    <row r="33" spans="1:8" x14ac:dyDescent="0.35">
      <c r="A33" t="s">
        <v>90</v>
      </c>
      <c r="B33" t="s">
        <v>28</v>
      </c>
      <c r="C33" t="s">
        <v>15</v>
      </c>
      <c r="D33" t="s">
        <v>33</v>
      </c>
      <c r="E33" t="s">
        <v>91</v>
      </c>
      <c r="F33">
        <v>97055</v>
      </c>
      <c r="G33">
        <v>80</v>
      </c>
      <c r="H33" t="s">
        <v>51</v>
      </c>
    </row>
    <row r="34" spans="1:8" x14ac:dyDescent="0.35">
      <c r="A34" t="s">
        <v>92</v>
      </c>
      <c r="B34" t="s">
        <v>43</v>
      </c>
      <c r="C34" t="s">
        <v>32</v>
      </c>
      <c r="D34" t="s">
        <v>11</v>
      </c>
      <c r="E34" s="2">
        <v>45195</v>
      </c>
      <c r="F34">
        <v>66069</v>
      </c>
      <c r="G34">
        <v>72</v>
      </c>
      <c r="H34" t="s">
        <v>51</v>
      </c>
    </row>
    <row r="35" spans="1:8" x14ac:dyDescent="0.35">
      <c r="A35" t="s">
        <v>93</v>
      </c>
      <c r="B35" t="s">
        <v>94</v>
      </c>
      <c r="C35" t="s">
        <v>10</v>
      </c>
      <c r="D35" t="s">
        <v>84</v>
      </c>
      <c r="E35" t="s">
        <v>95</v>
      </c>
      <c r="F35">
        <v>90157</v>
      </c>
      <c r="G35">
        <v>58</v>
      </c>
      <c r="H35" t="s">
        <v>12</v>
      </c>
    </row>
    <row r="36" spans="1:8" x14ac:dyDescent="0.35">
      <c r="A36" t="s">
        <v>96</v>
      </c>
      <c r="B36" t="s">
        <v>53</v>
      </c>
      <c r="C36" t="s">
        <v>25</v>
      </c>
      <c r="D36" t="s">
        <v>97</v>
      </c>
      <c r="E36" s="2">
        <v>44578</v>
      </c>
      <c r="F36">
        <v>59899</v>
      </c>
      <c r="G36">
        <v>78</v>
      </c>
      <c r="H36" t="s">
        <v>51</v>
      </c>
    </row>
    <row r="37" spans="1:8" x14ac:dyDescent="0.35">
      <c r="A37" t="s">
        <v>98</v>
      </c>
      <c r="B37" t="s">
        <v>9</v>
      </c>
      <c r="C37" t="s">
        <v>60</v>
      </c>
      <c r="D37" t="s">
        <v>76</v>
      </c>
      <c r="E37" t="s">
        <v>99</v>
      </c>
      <c r="F37">
        <v>113389</v>
      </c>
      <c r="G37">
        <v>30</v>
      </c>
      <c r="H37" t="s">
        <v>17</v>
      </c>
    </row>
    <row r="38" spans="1:8" x14ac:dyDescent="0.35">
      <c r="A38" t="s">
        <v>100</v>
      </c>
      <c r="C38" t="s">
        <v>10</v>
      </c>
      <c r="D38" t="s">
        <v>20</v>
      </c>
      <c r="E38" t="s">
        <v>101</v>
      </c>
      <c r="F38">
        <v>102691</v>
      </c>
      <c r="G38">
        <v>52</v>
      </c>
      <c r="H38" t="s">
        <v>45</v>
      </c>
    </row>
    <row r="39" spans="1:8" x14ac:dyDescent="0.35">
      <c r="A39" t="s">
        <v>102</v>
      </c>
      <c r="B39" t="s">
        <v>24</v>
      </c>
      <c r="C39" t="s">
        <v>36</v>
      </c>
      <c r="D39" t="s">
        <v>33</v>
      </c>
      <c r="E39" t="s">
        <v>103</v>
      </c>
      <c r="F39">
        <v>111845</v>
      </c>
      <c r="G39">
        <v>98</v>
      </c>
      <c r="H39" t="s">
        <v>12</v>
      </c>
    </row>
    <row r="40" spans="1:8" x14ac:dyDescent="0.35">
      <c r="A40" t="s">
        <v>104</v>
      </c>
      <c r="B40" t="s">
        <v>105</v>
      </c>
      <c r="C40" t="s">
        <v>10</v>
      </c>
      <c r="D40" t="s">
        <v>79</v>
      </c>
      <c r="E40" t="s">
        <v>106</v>
      </c>
      <c r="F40">
        <v>69219</v>
      </c>
      <c r="G40">
        <v>93</v>
      </c>
      <c r="H40" t="s">
        <v>51</v>
      </c>
    </row>
    <row r="41" spans="1:8" x14ac:dyDescent="0.35">
      <c r="A41" t="s">
        <v>107</v>
      </c>
      <c r="B41" t="s">
        <v>43</v>
      </c>
      <c r="C41" t="s">
        <v>29</v>
      </c>
      <c r="D41" t="s">
        <v>26</v>
      </c>
      <c r="E41" s="2">
        <v>43949</v>
      </c>
      <c r="G41">
        <v>80</v>
      </c>
      <c r="H41" t="s">
        <v>108</v>
      </c>
    </row>
    <row r="42" spans="1:8" x14ac:dyDescent="0.35">
      <c r="A42" t="s">
        <v>109</v>
      </c>
      <c r="B42" t="s">
        <v>94</v>
      </c>
      <c r="C42" t="s">
        <v>47</v>
      </c>
      <c r="D42" t="s">
        <v>33</v>
      </c>
      <c r="E42" t="s">
        <v>110</v>
      </c>
      <c r="F42">
        <v>57514</v>
      </c>
      <c r="H42" t="s">
        <v>12</v>
      </c>
    </row>
    <row r="43" spans="1:8" x14ac:dyDescent="0.35">
      <c r="A43" t="s">
        <v>111</v>
      </c>
      <c r="B43" t="s">
        <v>9</v>
      </c>
      <c r="C43" t="s">
        <v>36</v>
      </c>
      <c r="D43" t="s">
        <v>44</v>
      </c>
      <c r="E43" s="2">
        <v>43181</v>
      </c>
      <c r="F43">
        <v>86245</v>
      </c>
      <c r="G43">
        <v>71</v>
      </c>
      <c r="H43" t="s">
        <v>22</v>
      </c>
    </row>
    <row r="44" spans="1:8" x14ac:dyDescent="0.35">
      <c r="A44" t="s">
        <v>112</v>
      </c>
      <c r="B44" t="s">
        <v>113</v>
      </c>
      <c r="C44" t="s">
        <v>15</v>
      </c>
      <c r="D44" t="s">
        <v>44</v>
      </c>
      <c r="E44" s="2">
        <v>43958</v>
      </c>
      <c r="F44">
        <v>52407</v>
      </c>
      <c r="G44">
        <v>55</v>
      </c>
      <c r="H44" t="s">
        <v>12</v>
      </c>
    </row>
    <row r="45" spans="1:8" x14ac:dyDescent="0.35">
      <c r="A45" t="s">
        <v>114</v>
      </c>
      <c r="B45" t="s">
        <v>66</v>
      </c>
      <c r="C45" t="s">
        <v>29</v>
      </c>
      <c r="D45" t="s">
        <v>37</v>
      </c>
      <c r="E45" s="2">
        <v>43549</v>
      </c>
      <c r="F45" t="s">
        <v>115</v>
      </c>
      <c r="G45">
        <v>93</v>
      </c>
      <c r="H45" t="s">
        <v>116</v>
      </c>
    </row>
    <row r="46" spans="1:8" x14ac:dyDescent="0.35">
      <c r="A46" t="s">
        <v>117</v>
      </c>
      <c r="B46" t="s">
        <v>94</v>
      </c>
      <c r="C46" t="s">
        <v>54</v>
      </c>
      <c r="D46" t="s">
        <v>11</v>
      </c>
      <c r="E46" s="2">
        <v>43686</v>
      </c>
      <c r="F46">
        <v>81896</v>
      </c>
      <c r="G46">
        <v>79</v>
      </c>
      <c r="H46" t="s">
        <v>116</v>
      </c>
    </row>
    <row r="47" spans="1:8" x14ac:dyDescent="0.35">
      <c r="A47" t="s">
        <v>118</v>
      </c>
      <c r="B47" t="s">
        <v>71</v>
      </c>
      <c r="C47" t="s">
        <v>69</v>
      </c>
      <c r="D47" t="s">
        <v>44</v>
      </c>
      <c r="E47" t="s">
        <v>119</v>
      </c>
      <c r="F47">
        <v>78402</v>
      </c>
      <c r="G47">
        <v>54</v>
      </c>
      <c r="H47" t="s">
        <v>17</v>
      </c>
    </row>
    <row r="48" spans="1:8" x14ac:dyDescent="0.35">
      <c r="A48" t="s">
        <v>120</v>
      </c>
      <c r="B48" t="s">
        <v>28</v>
      </c>
      <c r="C48" t="s">
        <v>69</v>
      </c>
      <c r="D48" t="s">
        <v>37</v>
      </c>
      <c r="E48" s="2">
        <v>42647</v>
      </c>
      <c r="F48">
        <v>105498</v>
      </c>
      <c r="G48">
        <v>76</v>
      </c>
      <c r="H48" t="s">
        <v>12</v>
      </c>
    </row>
    <row r="49" spans="1:8" x14ac:dyDescent="0.35">
      <c r="A49" t="s">
        <v>121</v>
      </c>
      <c r="B49" t="s">
        <v>105</v>
      </c>
      <c r="C49" t="s">
        <v>32</v>
      </c>
      <c r="D49" t="s">
        <v>16</v>
      </c>
      <c r="E49" t="s">
        <v>122</v>
      </c>
      <c r="F49">
        <v>91749</v>
      </c>
      <c r="G49">
        <v>72</v>
      </c>
      <c r="H49" t="s">
        <v>108</v>
      </c>
    </row>
    <row r="50" spans="1:8" x14ac:dyDescent="0.35">
      <c r="A50" t="s">
        <v>123</v>
      </c>
      <c r="B50" t="s">
        <v>71</v>
      </c>
      <c r="C50" t="s">
        <v>32</v>
      </c>
      <c r="D50" t="s">
        <v>37</v>
      </c>
      <c r="E50" s="2">
        <v>44437</v>
      </c>
      <c r="F50">
        <v>99935</v>
      </c>
      <c r="G50">
        <v>84</v>
      </c>
      <c r="H50" t="s">
        <v>116</v>
      </c>
    </row>
    <row r="51" spans="1:8" x14ac:dyDescent="0.35">
      <c r="A51" t="s">
        <v>124</v>
      </c>
      <c r="B51" t="s">
        <v>24</v>
      </c>
      <c r="C51" t="s">
        <v>64</v>
      </c>
      <c r="D51" t="s">
        <v>20</v>
      </c>
      <c r="E51" s="2">
        <v>42761</v>
      </c>
      <c r="F51">
        <v>83531</v>
      </c>
      <c r="G51">
        <v>30</v>
      </c>
      <c r="H51" t="s">
        <v>108</v>
      </c>
    </row>
    <row r="52" spans="1:8" x14ac:dyDescent="0.35">
      <c r="A52" t="s">
        <v>125</v>
      </c>
      <c r="B52" t="s">
        <v>66</v>
      </c>
      <c r="C52" t="s">
        <v>32</v>
      </c>
      <c r="D52" t="s">
        <v>55</v>
      </c>
      <c r="E52" s="2">
        <v>43981</v>
      </c>
      <c r="F52" t="s">
        <v>126</v>
      </c>
      <c r="H52" t="s">
        <v>17</v>
      </c>
    </row>
    <row r="53" spans="1:8" x14ac:dyDescent="0.35">
      <c r="A53" t="s">
        <v>127</v>
      </c>
      <c r="B53" t="s">
        <v>53</v>
      </c>
      <c r="C53" t="s">
        <v>64</v>
      </c>
      <c r="D53" t="s">
        <v>97</v>
      </c>
      <c r="E53" s="2">
        <v>44612</v>
      </c>
      <c r="F53">
        <v>93290</v>
      </c>
      <c r="G53">
        <v>53</v>
      </c>
      <c r="H53" t="s">
        <v>17</v>
      </c>
    </row>
    <row r="54" spans="1:8" x14ac:dyDescent="0.35">
      <c r="A54" t="s">
        <v>128</v>
      </c>
      <c r="B54" t="s">
        <v>14</v>
      </c>
      <c r="C54" t="s">
        <v>64</v>
      </c>
      <c r="D54" t="s">
        <v>33</v>
      </c>
      <c r="E54" s="2">
        <v>42628</v>
      </c>
      <c r="F54">
        <v>115527</v>
      </c>
      <c r="G54">
        <v>63</v>
      </c>
      <c r="H54" t="s">
        <v>116</v>
      </c>
    </row>
    <row r="55" spans="1:8" x14ac:dyDescent="0.35">
      <c r="A55" t="s">
        <v>129</v>
      </c>
      <c r="B55" t="s">
        <v>28</v>
      </c>
      <c r="C55" t="s">
        <v>41</v>
      </c>
      <c r="D55" t="s">
        <v>76</v>
      </c>
      <c r="E55" t="s">
        <v>130</v>
      </c>
      <c r="F55">
        <v>55920</v>
      </c>
      <c r="G55">
        <v>84</v>
      </c>
      <c r="H55" t="s">
        <v>51</v>
      </c>
    </row>
    <row r="56" spans="1:8" x14ac:dyDescent="0.35">
      <c r="A56" t="s">
        <v>131</v>
      </c>
      <c r="B56" t="s">
        <v>9</v>
      </c>
      <c r="C56" t="s">
        <v>32</v>
      </c>
      <c r="D56" t="s">
        <v>44</v>
      </c>
      <c r="E56" s="2">
        <v>43464</v>
      </c>
      <c r="F56">
        <v>80189</v>
      </c>
      <c r="G56">
        <v>30</v>
      </c>
      <c r="H56" t="s">
        <v>45</v>
      </c>
    </row>
    <row r="57" spans="1:8" x14ac:dyDescent="0.35">
      <c r="A57" t="s">
        <v>132</v>
      </c>
      <c r="B57" t="s">
        <v>9</v>
      </c>
      <c r="C57" t="s">
        <v>133</v>
      </c>
      <c r="D57" t="s">
        <v>97</v>
      </c>
      <c r="E57" s="2">
        <v>44189</v>
      </c>
      <c r="F57">
        <v>118947</v>
      </c>
      <c r="G57">
        <v>96</v>
      </c>
      <c r="H57" t="s">
        <v>12</v>
      </c>
    </row>
    <row r="58" spans="1:8" x14ac:dyDescent="0.35">
      <c r="A58" t="s">
        <v>134</v>
      </c>
      <c r="B58" t="s">
        <v>53</v>
      </c>
      <c r="C58" t="s">
        <v>135</v>
      </c>
      <c r="D58" t="s">
        <v>11</v>
      </c>
      <c r="E58" s="2">
        <v>45112</v>
      </c>
      <c r="G58">
        <v>54</v>
      </c>
      <c r="H58" t="s">
        <v>51</v>
      </c>
    </row>
    <row r="59" spans="1:8" x14ac:dyDescent="0.35">
      <c r="A59" t="s">
        <v>136</v>
      </c>
      <c r="B59" t="s">
        <v>28</v>
      </c>
      <c r="C59" t="s">
        <v>133</v>
      </c>
      <c r="D59" t="s">
        <v>37</v>
      </c>
      <c r="E59" s="2">
        <v>44148</v>
      </c>
      <c r="G59">
        <v>75</v>
      </c>
      <c r="H59" t="s">
        <v>51</v>
      </c>
    </row>
    <row r="60" spans="1:8" x14ac:dyDescent="0.35">
      <c r="A60" t="s">
        <v>137</v>
      </c>
      <c r="B60" t="s">
        <v>113</v>
      </c>
      <c r="C60" t="s">
        <v>25</v>
      </c>
      <c r="D60" t="s">
        <v>138</v>
      </c>
      <c r="E60" t="s">
        <v>139</v>
      </c>
      <c r="F60">
        <v>91655</v>
      </c>
      <c r="G60">
        <v>95</v>
      </c>
      <c r="H60" t="s">
        <v>45</v>
      </c>
    </row>
    <row r="61" spans="1:8" x14ac:dyDescent="0.35">
      <c r="A61" t="s">
        <v>140</v>
      </c>
      <c r="B61" t="s">
        <v>9</v>
      </c>
      <c r="C61" t="s">
        <v>10</v>
      </c>
      <c r="D61" t="s">
        <v>11</v>
      </c>
      <c r="E61" s="2">
        <v>45255</v>
      </c>
      <c r="F61">
        <v>49435</v>
      </c>
      <c r="H61" t="s">
        <v>108</v>
      </c>
    </row>
    <row r="62" spans="1:8" x14ac:dyDescent="0.35">
      <c r="A62" t="s">
        <v>141</v>
      </c>
      <c r="B62" t="s">
        <v>9</v>
      </c>
      <c r="C62" t="s">
        <v>36</v>
      </c>
      <c r="D62" t="s">
        <v>48</v>
      </c>
      <c r="E62" s="2">
        <v>45217</v>
      </c>
      <c r="F62">
        <v>110381</v>
      </c>
      <c r="G62">
        <v>93</v>
      </c>
      <c r="H62" t="s">
        <v>45</v>
      </c>
    </row>
    <row r="63" spans="1:8" x14ac:dyDescent="0.35">
      <c r="A63" t="s">
        <v>142</v>
      </c>
      <c r="B63" t="s">
        <v>43</v>
      </c>
      <c r="C63" t="s">
        <v>135</v>
      </c>
      <c r="D63" t="s">
        <v>97</v>
      </c>
      <c r="E63" s="2">
        <v>44079</v>
      </c>
      <c r="F63">
        <v>114748</v>
      </c>
      <c r="G63">
        <v>33</v>
      </c>
      <c r="H63" t="s">
        <v>12</v>
      </c>
    </row>
    <row r="64" spans="1:8" x14ac:dyDescent="0.35">
      <c r="A64" t="s">
        <v>143</v>
      </c>
      <c r="B64" t="s">
        <v>59</v>
      </c>
      <c r="C64" t="s">
        <v>32</v>
      </c>
      <c r="D64" t="s">
        <v>33</v>
      </c>
      <c r="E64" s="2">
        <v>42800</v>
      </c>
      <c r="F64">
        <v>63302</v>
      </c>
      <c r="G64">
        <v>91</v>
      </c>
      <c r="H64" t="s">
        <v>12</v>
      </c>
    </row>
    <row r="65" spans="1:8" x14ac:dyDescent="0.35">
      <c r="A65" t="s">
        <v>144</v>
      </c>
      <c r="B65" t="s">
        <v>59</v>
      </c>
      <c r="C65" t="s">
        <v>47</v>
      </c>
      <c r="D65" t="s">
        <v>84</v>
      </c>
      <c r="E65" s="2">
        <v>42122</v>
      </c>
      <c r="F65" t="s">
        <v>145</v>
      </c>
      <c r="G65">
        <v>64</v>
      </c>
      <c r="H65" t="s">
        <v>12</v>
      </c>
    </row>
    <row r="66" spans="1:8" x14ac:dyDescent="0.35">
      <c r="A66" t="s">
        <v>146</v>
      </c>
      <c r="B66" t="s">
        <v>53</v>
      </c>
      <c r="C66" t="s">
        <v>64</v>
      </c>
      <c r="D66" t="s">
        <v>76</v>
      </c>
      <c r="E66" s="2">
        <v>42838</v>
      </c>
      <c r="F66">
        <v>103891</v>
      </c>
      <c r="G66">
        <v>80</v>
      </c>
      <c r="H66" t="s">
        <v>12</v>
      </c>
    </row>
    <row r="67" spans="1:8" x14ac:dyDescent="0.35">
      <c r="A67" t="s">
        <v>147</v>
      </c>
      <c r="B67" t="s">
        <v>28</v>
      </c>
      <c r="C67" t="s">
        <v>64</v>
      </c>
      <c r="D67" t="s">
        <v>33</v>
      </c>
      <c r="E67" s="2">
        <v>44827</v>
      </c>
      <c r="G67">
        <v>46</v>
      </c>
      <c r="H67" t="s">
        <v>22</v>
      </c>
    </row>
    <row r="68" spans="1:8" x14ac:dyDescent="0.35">
      <c r="A68" t="s">
        <v>148</v>
      </c>
      <c r="B68" t="s">
        <v>28</v>
      </c>
      <c r="C68" t="s">
        <v>60</v>
      </c>
      <c r="D68" t="s">
        <v>61</v>
      </c>
      <c r="E68" t="s">
        <v>149</v>
      </c>
      <c r="F68" t="s">
        <v>150</v>
      </c>
      <c r="G68">
        <v>99</v>
      </c>
      <c r="H68" t="s">
        <v>12</v>
      </c>
    </row>
    <row r="69" spans="1:8" x14ac:dyDescent="0.35">
      <c r="A69" t="s">
        <v>151</v>
      </c>
      <c r="B69" t="s">
        <v>43</v>
      </c>
      <c r="C69" t="s">
        <v>47</v>
      </c>
      <c r="D69" t="s">
        <v>79</v>
      </c>
      <c r="E69" t="s">
        <v>152</v>
      </c>
      <c r="F69" t="s">
        <v>153</v>
      </c>
      <c r="H69" t="s">
        <v>51</v>
      </c>
    </row>
    <row r="70" spans="1:8" x14ac:dyDescent="0.35">
      <c r="A70" t="s">
        <v>154</v>
      </c>
      <c r="B70" t="s">
        <v>14</v>
      </c>
      <c r="C70" t="s">
        <v>19</v>
      </c>
      <c r="D70" t="s">
        <v>97</v>
      </c>
      <c r="E70" t="s">
        <v>155</v>
      </c>
      <c r="F70">
        <v>51567</v>
      </c>
      <c r="G70">
        <v>87</v>
      </c>
      <c r="H70" t="s">
        <v>116</v>
      </c>
    </row>
    <row r="71" spans="1:8" x14ac:dyDescent="0.35">
      <c r="A71" t="s">
        <v>156</v>
      </c>
      <c r="B71" t="s">
        <v>105</v>
      </c>
      <c r="C71" t="s">
        <v>54</v>
      </c>
      <c r="D71" t="s">
        <v>157</v>
      </c>
      <c r="E71" s="2">
        <v>44402</v>
      </c>
      <c r="G71">
        <v>36</v>
      </c>
      <c r="H71" t="s">
        <v>45</v>
      </c>
    </row>
    <row r="72" spans="1:8" x14ac:dyDescent="0.35">
      <c r="A72" t="s">
        <v>158</v>
      </c>
      <c r="B72" t="s">
        <v>59</v>
      </c>
      <c r="C72" t="s">
        <v>47</v>
      </c>
      <c r="D72" t="s">
        <v>97</v>
      </c>
      <c r="E72" s="2">
        <v>43008</v>
      </c>
      <c r="F72">
        <v>55270</v>
      </c>
      <c r="G72">
        <v>87</v>
      </c>
      <c r="H72" t="s">
        <v>51</v>
      </c>
    </row>
    <row r="73" spans="1:8" x14ac:dyDescent="0.35">
      <c r="A73" t="s">
        <v>159</v>
      </c>
      <c r="B73" t="s">
        <v>160</v>
      </c>
      <c r="C73" t="s">
        <v>133</v>
      </c>
      <c r="D73" t="s">
        <v>44</v>
      </c>
      <c r="E73" s="2">
        <v>42192</v>
      </c>
      <c r="F73">
        <v>65235</v>
      </c>
      <c r="G73">
        <v>97</v>
      </c>
      <c r="H73" t="s">
        <v>17</v>
      </c>
    </row>
    <row r="74" spans="1:8" x14ac:dyDescent="0.35">
      <c r="A74" t="s">
        <v>161</v>
      </c>
      <c r="B74" t="s">
        <v>24</v>
      </c>
      <c r="C74" t="s">
        <v>19</v>
      </c>
      <c r="D74" t="s">
        <v>44</v>
      </c>
      <c r="E74" s="2">
        <v>43283</v>
      </c>
      <c r="G74">
        <v>72</v>
      </c>
      <c r="H74" t="s">
        <v>22</v>
      </c>
    </row>
    <row r="75" spans="1:8" x14ac:dyDescent="0.35">
      <c r="A75" t="s">
        <v>162</v>
      </c>
      <c r="B75" t="s">
        <v>66</v>
      </c>
      <c r="C75" t="s">
        <v>19</v>
      </c>
      <c r="D75" t="s">
        <v>48</v>
      </c>
      <c r="E75" s="2">
        <v>44819</v>
      </c>
      <c r="G75">
        <v>65</v>
      </c>
      <c r="H75" t="s">
        <v>22</v>
      </c>
    </row>
    <row r="76" spans="1:8" x14ac:dyDescent="0.35">
      <c r="A76" t="s">
        <v>143</v>
      </c>
      <c r="B76" t="s">
        <v>59</v>
      </c>
      <c r="C76" t="s">
        <v>32</v>
      </c>
      <c r="D76" t="s">
        <v>33</v>
      </c>
      <c r="E76" s="2">
        <v>42800</v>
      </c>
      <c r="F76">
        <v>63302</v>
      </c>
      <c r="G76">
        <v>91</v>
      </c>
      <c r="H76" t="s">
        <v>12</v>
      </c>
    </row>
    <row r="77" spans="1:8" x14ac:dyDescent="0.35">
      <c r="A77" t="s">
        <v>163</v>
      </c>
      <c r="B77" t="s">
        <v>53</v>
      </c>
      <c r="C77" t="s">
        <v>19</v>
      </c>
      <c r="D77" t="s">
        <v>79</v>
      </c>
      <c r="E77" s="2">
        <v>42249</v>
      </c>
      <c r="G77">
        <v>67</v>
      </c>
      <c r="H77" t="s">
        <v>51</v>
      </c>
    </row>
    <row r="78" spans="1:8" x14ac:dyDescent="0.35">
      <c r="A78" t="s">
        <v>164</v>
      </c>
      <c r="B78" t="s">
        <v>113</v>
      </c>
      <c r="C78" t="s">
        <v>36</v>
      </c>
      <c r="D78" t="s">
        <v>165</v>
      </c>
      <c r="E78" t="s">
        <v>166</v>
      </c>
      <c r="F78">
        <v>48823</v>
      </c>
      <c r="G78">
        <v>34</v>
      </c>
      <c r="H78" t="s">
        <v>17</v>
      </c>
    </row>
    <row r="79" spans="1:8" x14ac:dyDescent="0.35">
      <c r="A79" t="s">
        <v>167</v>
      </c>
      <c r="B79" t="s">
        <v>53</v>
      </c>
      <c r="C79" t="s">
        <v>19</v>
      </c>
      <c r="D79" t="s">
        <v>76</v>
      </c>
      <c r="E79" s="2">
        <v>43575</v>
      </c>
      <c r="F79">
        <v>45196</v>
      </c>
      <c r="G79">
        <v>78</v>
      </c>
      <c r="H79" t="s">
        <v>22</v>
      </c>
    </row>
    <row r="80" spans="1:8" x14ac:dyDescent="0.35">
      <c r="A80" t="s">
        <v>168</v>
      </c>
      <c r="B80" t="s">
        <v>53</v>
      </c>
      <c r="C80" t="s">
        <v>41</v>
      </c>
      <c r="D80" t="s">
        <v>11</v>
      </c>
      <c r="E80" t="s">
        <v>169</v>
      </c>
      <c r="F80" t="s">
        <v>170</v>
      </c>
      <c r="G80">
        <v>61</v>
      </c>
      <c r="H80" t="s">
        <v>51</v>
      </c>
    </row>
    <row r="81" spans="1:8" x14ac:dyDescent="0.35">
      <c r="A81" t="s">
        <v>171</v>
      </c>
      <c r="B81" t="s">
        <v>9</v>
      </c>
      <c r="C81" t="s">
        <v>47</v>
      </c>
      <c r="D81" t="s">
        <v>44</v>
      </c>
      <c r="E81" t="s">
        <v>172</v>
      </c>
      <c r="F81">
        <v>70359</v>
      </c>
      <c r="G81">
        <v>74</v>
      </c>
      <c r="H81" t="s">
        <v>30</v>
      </c>
    </row>
    <row r="82" spans="1:8" x14ac:dyDescent="0.35">
      <c r="A82" t="s">
        <v>173</v>
      </c>
      <c r="B82" t="s">
        <v>94</v>
      </c>
      <c r="C82" t="s">
        <v>47</v>
      </c>
      <c r="D82" t="s">
        <v>61</v>
      </c>
      <c r="E82" s="2">
        <v>43599</v>
      </c>
      <c r="G82">
        <v>94</v>
      </c>
      <c r="H82" t="s">
        <v>17</v>
      </c>
    </row>
    <row r="83" spans="1:8" x14ac:dyDescent="0.35">
      <c r="A83" t="s">
        <v>90</v>
      </c>
      <c r="B83" t="s">
        <v>28</v>
      </c>
      <c r="C83" t="s">
        <v>15</v>
      </c>
      <c r="D83" t="s">
        <v>33</v>
      </c>
      <c r="E83" t="s">
        <v>91</v>
      </c>
      <c r="F83">
        <v>97055</v>
      </c>
      <c r="G83">
        <v>80</v>
      </c>
      <c r="H83" t="s">
        <v>51</v>
      </c>
    </row>
    <row r="84" spans="1:8" x14ac:dyDescent="0.35">
      <c r="A84" t="s">
        <v>174</v>
      </c>
      <c r="B84" t="s">
        <v>39</v>
      </c>
      <c r="C84" t="s">
        <v>133</v>
      </c>
      <c r="D84" t="s">
        <v>37</v>
      </c>
      <c r="E84" s="2">
        <v>42330</v>
      </c>
      <c r="F84">
        <v>86480</v>
      </c>
      <c r="H84" t="s">
        <v>17</v>
      </c>
    </row>
    <row r="85" spans="1:8" x14ac:dyDescent="0.35">
      <c r="A85" t="s">
        <v>175</v>
      </c>
      <c r="B85" t="s">
        <v>14</v>
      </c>
      <c r="C85" t="s">
        <v>29</v>
      </c>
      <c r="D85" t="s">
        <v>138</v>
      </c>
      <c r="E85" t="s">
        <v>176</v>
      </c>
      <c r="F85" t="s">
        <v>177</v>
      </c>
      <c r="G85">
        <v>75</v>
      </c>
      <c r="H85" t="s">
        <v>17</v>
      </c>
    </row>
    <row r="86" spans="1:8" x14ac:dyDescent="0.35">
      <c r="A86" t="s">
        <v>178</v>
      </c>
      <c r="B86" t="s">
        <v>105</v>
      </c>
      <c r="C86" t="s">
        <v>36</v>
      </c>
      <c r="D86" t="s">
        <v>11</v>
      </c>
      <c r="E86" s="2">
        <v>45171</v>
      </c>
      <c r="F86">
        <v>83724</v>
      </c>
      <c r="G86">
        <v>81</v>
      </c>
      <c r="H86" t="s">
        <v>116</v>
      </c>
    </row>
    <row r="87" spans="1:8" x14ac:dyDescent="0.35">
      <c r="A87" t="s">
        <v>179</v>
      </c>
      <c r="B87" t="s">
        <v>28</v>
      </c>
      <c r="C87" t="s">
        <v>54</v>
      </c>
      <c r="D87" t="s">
        <v>76</v>
      </c>
      <c r="E87" s="2">
        <v>44759</v>
      </c>
      <c r="F87">
        <v>98299</v>
      </c>
      <c r="G87">
        <v>61</v>
      </c>
      <c r="H87" t="s">
        <v>51</v>
      </c>
    </row>
    <row r="88" spans="1:8" x14ac:dyDescent="0.35">
      <c r="A88" t="s">
        <v>180</v>
      </c>
      <c r="B88" t="s">
        <v>113</v>
      </c>
      <c r="C88" t="s">
        <v>54</v>
      </c>
      <c r="D88" t="s">
        <v>26</v>
      </c>
      <c r="E88" t="s">
        <v>181</v>
      </c>
      <c r="G88">
        <v>68</v>
      </c>
      <c r="H88" t="s">
        <v>51</v>
      </c>
    </row>
    <row r="89" spans="1:8" x14ac:dyDescent="0.35">
      <c r="A89" t="s">
        <v>182</v>
      </c>
      <c r="B89" t="s">
        <v>24</v>
      </c>
      <c r="C89" t="s">
        <v>32</v>
      </c>
      <c r="D89" t="s">
        <v>84</v>
      </c>
      <c r="E89" t="s">
        <v>183</v>
      </c>
      <c r="F89">
        <v>52287</v>
      </c>
      <c r="G89">
        <v>70</v>
      </c>
      <c r="H89" t="s">
        <v>12</v>
      </c>
    </row>
    <row r="90" spans="1:8" x14ac:dyDescent="0.35">
      <c r="A90" t="s">
        <v>184</v>
      </c>
      <c r="B90" t="s">
        <v>14</v>
      </c>
      <c r="C90" t="s">
        <v>19</v>
      </c>
      <c r="D90" t="s">
        <v>11</v>
      </c>
      <c r="E90" s="2">
        <v>44073</v>
      </c>
      <c r="F90">
        <v>82633</v>
      </c>
      <c r="G90">
        <v>98</v>
      </c>
      <c r="H90" t="s">
        <v>17</v>
      </c>
    </row>
    <row r="91" spans="1:8" x14ac:dyDescent="0.35">
      <c r="A91" t="s">
        <v>185</v>
      </c>
      <c r="B91" t="s">
        <v>105</v>
      </c>
      <c r="C91" t="s">
        <v>135</v>
      </c>
      <c r="D91" t="s">
        <v>37</v>
      </c>
      <c r="E91" s="2">
        <v>44422</v>
      </c>
      <c r="F91">
        <v>46508</v>
      </c>
      <c r="G91">
        <v>34</v>
      </c>
      <c r="H91" t="s">
        <v>45</v>
      </c>
    </row>
    <row r="92" spans="1:8" x14ac:dyDescent="0.35">
      <c r="A92" t="s">
        <v>186</v>
      </c>
      <c r="B92" t="s">
        <v>9</v>
      </c>
      <c r="C92" t="s">
        <v>19</v>
      </c>
      <c r="D92" t="s">
        <v>138</v>
      </c>
      <c r="E92" t="s">
        <v>187</v>
      </c>
      <c r="F92">
        <v>86232</v>
      </c>
      <c r="G92">
        <v>93</v>
      </c>
      <c r="H92" t="s">
        <v>45</v>
      </c>
    </row>
    <row r="93" spans="1:8" x14ac:dyDescent="0.35">
      <c r="A93" t="s">
        <v>188</v>
      </c>
      <c r="B93" t="s">
        <v>53</v>
      </c>
      <c r="C93" t="s">
        <v>64</v>
      </c>
      <c r="D93" t="s">
        <v>84</v>
      </c>
      <c r="E93" t="s">
        <v>189</v>
      </c>
      <c r="F93" t="s">
        <v>190</v>
      </c>
      <c r="G93">
        <v>48</v>
      </c>
      <c r="H93" t="s">
        <v>45</v>
      </c>
    </row>
    <row r="94" spans="1:8" x14ac:dyDescent="0.35">
      <c r="A94" t="s">
        <v>191</v>
      </c>
      <c r="B94" t="s">
        <v>160</v>
      </c>
      <c r="C94" t="s">
        <v>19</v>
      </c>
      <c r="D94" t="s">
        <v>37</v>
      </c>
      <c r="E94" s="2">
        <v>43436</v>
      </c>
      <c r="F94">
        <v>68683</v>
      </c>
      <c r="G94">
        <v>90</v>
      </c>
      <c r="H94" t="s">
        <v>51</v>
      </c>
    </row>
    <row r="95" spans="1:8" x14ac:dyDescent="0.35">
      <c r="A95" t="s">
        <v>192</v>
      </c>
      <c r="B95" t="s">
        <v>28</v>
      </c>
      <c r="C95" t="s">
        <v>60</v>
      </c>
      <c r="D95" t="s">
        <v>26</v>
      </c>
      <c r="E95" s="2">
        <v>43639</v>
      </c>
      <c r="F95">
        <v>83932</v>
      </c>
      <c r="G95">
        <v>57</v>
      </c>
      <c r="H95" t="s">
        <v>22</v>
      </c>
    </row>
    <row r="96" spans="1:8" x14ac:dyDescent="0.35">
      <c r="A96" t="s">
        <v>193</v>
      </c>
      <c r="B96" t="s">
        <v>39</v>
      </c>
      <c r="C96" t="s">
        <v>135</v>
      </c>
      <c r="D96" t="s">
        <v>97</v>
      </c>
      <c r="E96" s="2">
        <v>42304</v>
      </c>
      <c r="F96">
        <v>56073</v>
      </c>
      <c r="G96">
        <v>79</v>
      </c>
      <c r="H96" t="s">
        <v>45</v>
      </c>
    </row>
    <row r="97" spans="1:8" x14ac:dyDescent="0.35">
      <c r="A97" t="s">
        <v>194</v>
      </c>
      <c r="B97" t="s">
        <v>105</v>
      </c>
      <c r="C97" t="s">
        <v>32</v>
      </c>
      <c r="D97" t="s">
        <v>20</v>
      </c>
      <c r="E97" s="2">
        <v>43270</v>
      </c>
      <c r="F97" t="s">
        <v>195</v>
      </c>
      <c r="G97">
        <v>66</v>
      </c>
      <c r="H97" t="s">
        <v>51</v>
      </c>
    </row>
    <row r="98" spans="1:8" x14ac:dyDescent="0.35">
      <c r="A98" t="s">
        <v>196</v>
      </c>
      <c r="B98" t="s">
        <v>28</v>
      </c>
      <c r="C98" t="s">
        <v>47</v>
      </c>
      <c r="D98" t="s">
        <v>165</v>
      </c>
      <c r="E98" s="2">
        <v>43112</v>
      </c>
      <c r="F98">
        <v>67414</v>
      </c>
      <c r="G98">
        <v>84</v>
      </c>
      <c r="H98" t="s">
        <v>30</v>
      </c>
    </row>
    <row r="99" spans="1:8" x14ac:dyDescent="0.35">
      <c r="A99" t="s">
        <v>197</v>
      </c>
      <c r="B99" t="s">
        <v>160</v>
      </c>
      <c r="C99" t="s">
        <v>19</v>
      </c>
      <c r="D99" t="s">
        <v>44</v>
      </c>
      <c r="E99" s="2">
        <v>42008</v>
      </c>
      <c r="F99" t="s">
        <v>198</v>
      </c>
      <c r="G99">
        <v>61</v>
      </c>
      <c r="H99" t="s">
        <v>51</v>
      </c>
    </row>
    <row r="100" spans="1:8" x14ac:dyDescent="0.35">
      <c r="A100" t="s">
        <v>199</v>
      </c>
      <c r="C100" t="s">
        <v>29</v>
      </c>
      <c r="D100" t="s">
        <v>44</v>
      </c>
      <c r="E100" s="2">
        <v>43439</v>
      </c>
      <c r="F100">
        <v>80140</v>
      </c>
      <c r="G100">
        <v>58</v>
      </c>
      <c r="H100" t="s">
        <v>45</v>
      </c>
    </row>
    <row r="101" spans="1:8" x14ac:dyDescent="0.35">
      <c r="A101" t="s">
        <v>200</v>
      </c>
      <c r="B101" t="s">
        <v>24</v>
      </c>
      <c r="C101" t="s">
        <v>32</v>
      </c>
      <c r="D101" t="s">
        <v>11</v>
      </c>
      <c r="E101" s="2">
        <v>44482</v>
      </c>
      <c r="F101">
        <v>73087</v>
      </c>
      <c r="G101">
        <v>69</v>
      </c>
      <c r="H101" t="s">
        <v>51</v>
      </c>
    </row>
    <row r="102" spans="1:8" x14ac:dyDescent="0.35">
      <c r="A102" t="s">
        <v>201</v>
      </c>
      <c r="B102" t="s">
        <v>53</v>
      </c>
      <c r="C102" t="s">
        <v>32</v>
      </c>
      <c r="D102" t="s">
        <v>79</v>
      </c>
      <c r="E102" s="2">
        <v>44081</v>
      </c>
      <c r="F102">
        <v>95292</v>
      </c>
      <c r="G102">
        <v>34</v>
      </c>
      <c r="H102" t="s">
        <v>12</v>
      </c>
    </row>
    <row r="103" spans="1:8" x14ac:dyDescent="0.35">
      <c r="A103" t="s">
        <v>202</v>
      </c>
      <c r="B103" t="s">
        <v>24</v>
      </c>
      <c r="C103" t="s">
        <v>60</v>
      </c>
      <c r="D103" t="s">
        <v>20</v>
      </c>
      <c r="E103" t="s">
        <v>203</v>
      </c>
      <c r="G103">
        <v>33</v>
      </c>
      <c r="H103" t="s">
        <v>12</v>
      </c>
    </row>
    <row r="104" spans="1:8" x14ac:dyDescent="0.35">
      <c r="A104" t="s">
        <v>204</v>
      </c>
      <c r="B104" t="s">
        <v>53</v>
      </c>
      <c r="C104" t="s">
        <v>69</v>
      </c>
      <c r="D104" t="s">
        <v>16</v>
      </c>
      <c r="E104" t="s">
        <v>205</v>
      </c>
      <c r="F104">
        <v>101750</v>
      </c>
      <c r="G104">
        <v>84</v>
      </c>
      <c r="H104" t="s">
        <v>108</v>
      </c>
    </row>
    <row r="105" spans="1:8" x14ac:dyDescent="0.35">
      <c r="A105" t="s">
        <v>206</v>
      </c>
      <c r="B105" t="s">
        <v>105</v>
      </c>
      <c r="C105" t="s">
        <v>19</v>
      </c>
      <c r="D105" t="s">
        <v>55</v>
      </c>
      <c r="E105" t="s">
        <v>207</v>
      </c>
      <c r="F105">
        <v>82992</v>
      </c>
      <c r="G105">
        <v>79</v>
      </c>
      <c r="H105" t="s">
        <v>51</v>
      </c>
    </row>
    <row r="106" spans="1:8" x14ac:dyDescent="0.35">
      <c r="A106" t="s">
        <v>208</v>
      </c>
      <c r="B106" t="s">
        <v>160</v>
      </c>
      <c r="C106" t="s">
        <v>64</v>
      </c>
      <c r="D106" t="s">
        <v>11</v>
      </c>
      <c r="E106" s="2">
        <v>45055</v>
      </c>
      <c r="F106" t="s">
        <v>209</v>
      </c>
      <c r="G106">
        <v>51</v>
      </c>
      <c r="H106" t="s">
        <v>12</v>
      </c>
    </row>
    <row r="107" spans="1:8" x14ac:dyDescent="0.35">
      <c r="A107" t="s">
        <v>210</v>
      </c>
      <c r="B107" t="s">
        <v>24</v>
      </c>
      <c r="C107" t="s">
        <v>29</v>
      </c>
      <c r="D107" t="s">
        <v>37</v>
      </c>
      <c r="E107" s="2">
        <v>43122</v>
      </c>
      <c r="F107">
        <v>89060</v>
      </c>
      <c r="G107">
        <v>58</v>
      </c>
      <c r="H107" t="s">
        <v>12</v>
      </c>
    </row>
    <row r="108" spans="1:8" x14ac:dyDescent="0.35">
      <c r="A108" t="s">
        <v>211</v>
      </c>
      <c r="B108" t="s">
        <v>66</v>
      </c>
      <c r="C108" t="s">
        <v>19</v>
      </c>
      <c r="D108" t="s">
        <v>11</v>
      </c>
      <c r="E108" s="2">
        <v>43879</v>
      </c>
      <c r="F108">
        <v>53786</v>
      </c>
      <c r="G108">
        <v>98</v>
      </c>
      <c r="H108" t="s">
        <v>45</v>
      </c>
    </row>
    <row r="109" spans="1:8" x14ac:dyDescent="0.35">
      <c r="A109" t="s">
        <v>212</v>
      </c>
      <c r="B109" t="s">
        <v>9</v>
      </c>
      <c r="C109" t="s">
        <v>32</v>
      </c>
      <c r="D109" t="s">
        <v>33</v>
      </c>
      <c r="E109" t="s">
        <v>213</v>
      </c>
      <c r="F109">
        <v>81167</v>
      </c>
      <c r="H109" t="s">
        <v>45</v>
      </c>
    </row>
    <row r="110" spans="1:8" x14ac:dyDescent="0.35">
      <c r="A110" t="s">
        <v>214</v>
      </c>
      <c r="B110" t="s">
        <v>160</v>
      </c>
      <c r="C110" t="s">
        <v>54</v>
      </c>
      <c r="D110" t="s">
        <v>16</v>
      </c>
      <c r="E110" s="2">
        <v>44349</v>
      </c>
      <c r="F110">
        <v>66688</v>
      </c>
      <c r="G110">
        <v>40</v>
      </c>
      <c r="H110" t="s">
        <v>108</v>
      </c>
    </row>
    <row r="111" spans="1:8" x14ac:dyDescent="0.35">
      <c r="A111" t="s">
        <v>215</v>
      </c>
      <c r="B111" t="s">
        <v>66</v>
      </c>
      <c r="C111" t="s">
        <v>60</v>
      </c>
      <c r="D111" t="s">
        <v>11</v>
      </c>
      <c r="E111" s="2">
        <v>44394</v>
      </c>
      <c r="F111">
        <v>91672</v>
      </c>
      <c r="G111">
        <v>88</v>
      </c>
      <c r="H111" t="s">
        <v>17</v>
      </c>
    </row>
    <row r="112" spans="1:8" x14ac:dyDescent="0.35">
      <c r="A112" t="s">
        <v>216</v>
      </c>
      <c r="B112" t="s">
        <v>39</v>
      </c>
      <c r="C112" t="s">
        <v>19</v>
      </c>
      <c r="D112" t="s">
        <v>157</v>
      </c>
      <c r="E112" t="s">
        <v>217</v>
      </c>
      <c r="F112" t="s">
        <v>218</v>
      </c>
      <c r="G112">
        <v>77</v>
      </c>
      <c r="H112" t="s">
        <v>12</v>
      </c>
    </row>
    <row r="113" spans="1:8" x14ac:dyDescent="0.35">
      <c r="A113" t="s">
        <v>219</v>
      </c>
      <c r="B113" t="s">
        <v>94</v>
      </c>
      <c r="C113" t="s">
        <v>47</v>
      </c>
      <c r="D113" t="s">
        <v>79</v>
      </c>
      <c r="E113" s="2">
        <v>43513</v>
      </c>
      <c r="F113" t="s">
        <v>220</v>
      </c>
      <c r="G113">
        <v>91</v>
      </c>
      <c r="H113" t="s">
        <v>12</v>
      </c>
    </row>
    <row r="114" spans="1:8" x14ac:dyDescent="0.35">
      <c r="A114" t="s">
        <v>221</v>
      </c>
      <c r="B114" t="s">
        <v>39</v>
      </c>
      <c r="C114" t="s">
        <v>29</v>
      </c>
      <c r="D114" t="s">
        <v>44</v>
      </c>
      <c r="E114" s="2">
        <v>42625</v>
      </c>
      <c r="F114">
        <v>114681</v>
      </c>
      <c r="G114">
        <v>36</v>
      </c>
      <c r="H114" t="s">
        <v>17</v>
      </c>
    </row>
    <row r="115" spans="1:8" x14ac:dyDescent="0.35">
      <c r="A115" t="s">
        <v>222</v>
      </c>
      <c r="B115" t="s">
        <v>28</v>
      </c>
      <c r="C115" t="s">
        <v>60</v>
      </c>
      <c r="D115" t="s">
        <v>37</v>
      </c>
      <c r="E115" t="s">
        <v>223</v>
      </c>
      <c r="F115" t="s">
        <v>224</v>
      </c>
      <c r="G115">
        <v>72</v>
      </c>
      <c r="H115" t="s">
        <v>45</v>
      </c>
    </row>
    <row r="116" spans="1:8" x14ac:dyDescent="0.35">
      <c r="A116" t="s">
        <v>225</v>
      </c>
      <c r="B116" t="s">
        <v>71</v>
      </c>
      <c r="C116" t="s">
        <v>10</v>
      </c>
      <c r="D116" t="s">
        <v>16</v>
      </c>
      <c r="E116" s="2">
        <v>43996</v>
      </c>
      <c r="F116" t="s">
        <v>226</v>
      </c>
      <c r="G116">
        <v>87</v>
      </c>
      <c r="H116" t="s">
        <v>12</v>
      </c>
    </row>
    <row r="117" spans="1:8" x14ac:dyDescent="0.35">
      <c r="A117" t="s">
        <v>227</v>
      </c>
      <c r="B117" t="s">
        <v>59</v>
      </c>
      <c r="C117" t="s">
        <v>25</v>
      </c>
      <c r="D117" t="s">
        <v>20</v>
      </c>
      <c r="E117" t="s">
        <v>228</v>
      </c>
      <c r="F117">
        <v>118008</v>
      </c>
      <c r="G117">
        <v>71</v>
      </c>
      <c r="H117" t="s">
        <v>12</v>
      </c>
    </row>
    <row r="118" spans="1:8" x14ac:dyDescent="0.35">
      <c r="A118" t="s">
        <v>229</v>
      </c>
      <c r="B118" t="s">
        <v>28</v>
      </c>
      <c r="C118" t="s">
        <v>47</v>
      </c>
      <c r="D118" t="s">
        <v>11</v>
      </c>
      <c r="E118" t="s">
        <v>230</v>
      </c>
      <c r="F118">
        <v>74370</v>
      </c>
      <c r="G118">
        <v>82</v>
      </c>
      <c r="H118" t="s">
        <v>51</v>
      </c>
    </row>
    <row r="119" spans="1:8" x14ac:dyDescent="0.35">
      <c r="A119" t="s">
        <v>231</v>
      </c>
      <c r="B119" t="s">
        <v>113</v>
      </c>
      <c r="C119" t="s">
        <v>41</v>
      </c>
      <c r="D119" t="s">
        <v>20</v>
      </c>
      <c r="E119" s="2">
        <v>44674</v>
      </c>
      <c r="F119">
        <v>77819</v>
      </c>
      <c r="G119">
        <v>79</v>
      </c>
      <c r="H119" t="s">
        <v>17</v>
      </c>
    </row>
    <row r="120" spans="1:8" x14ac:dyDescent="0.35">
      <c r="A120" t="s">
        <v>232</v>
      </c>
      <c r="B120" t="s">
        <v>53</v>
      </c>
      <c r="C120" t="s">
        <v>47</v>
      </c>
      <c r="D120" t="s">
        <v>61</v>
      </c>
      <c r="E120" t="s">
        <v>233</v>
      </c>
      <c r="F120">
        <v>48748</v>
      </c>
      <c r="G120">
        <v>83</v>
      </c>
      <c r="H120" t="s">
        <v>51</v>
      </c>
    </row>
    <row r="121" spans="1:8" x14ac:dyDescent="0.35">
      <c r="A121" t="s">
        <v>234</v>
      </c>
      <c r="B121" t="s">
        <v>66</v>
      </c>
      <c r="C121" t="s">
        <v>41</v>
      </c>
      <c r="D121" t="s">
        <v>33</v>
      </c>
      <c r="E121" s="2">
        <v>43971</v>
      </c>
      <c r="F121">
        <v>101997</v>
      </c>
      <c r="G121">
        <v>38</v>
      </c>
      <c r="H121" t="s">
        <v>116</v>
      </c>
    </row>
    <row r="122" spans="1:8" x14ac:dyDescent="0.35">
      <c r="A122" t="s">
        <v>235</v>
      </c>
      <c r="B122" t="s">
        <v>94</v>
      </c>
      <c r="C122" t="s">
        <v>41</v>
      </c>
      <c r="D122" t="s">
        <v>97</v>
      </c>
      <c r="E122" t="s">
        <v>236</v>
      </c>
      <c r="F122">
        <v>115260</v>
      </c>
      <c r="G122">
        <v>77</v>
      </c>
      <c r="H122" t="s">
        <v>51</v>
      </c>
    </row>
    <row r="123" spans="1:8" x14ac:dyDescent="0.35">
      <c r="A123" t="s">
        <v>237</v>
      </c>
      <c r="B123" t="s">
        <v>94</v>
      </c>
      <c r="C123" t="s">
        <v>36</v>
      </c>
      <c r="D123" t="s">
        <v>44</v>
      </c>
      <c r="E123" s="2">
        <v>44500</v>
      </c>
      <c r="G123">
        <v>49</v>
      </c>
      <c r="H123" t="s">
        <v>12</v>
      </c>
    </row>
    <row r="124" spans="1:8" x14ac:dyDescent="0.35">
      <c r="A124" t="s">
        <v>238</v>
      </c>
      <c r="B124" t="s">
        <v>105</v>
      </c>
      <c r="C124" t="s">
        <v>10</v>
      </c>
      <c r="D124" t="s">
        <v>20</v>
      </c>
      <c r="E124" t="s">
        <v>239</v>
      </c>
      <c r="G124">
        <v>69</v>
      </c>
      <c r="H124" t="s">
        <v>108</v>
      </c>
    </row>
    <row r="125" spans="1:8" x14ac:dyDescent="0.35">
      <c r="A125" t="s">
        <v>240</v>
      </c>
      <c r="B125" t="s">
        <v>59</v>
      </c>
      <c r="C125" t="s">
        <v>54</v>
      </c>
      <c r="D125" t="s">
        <v>44</v>
      </c>
      <c r="E125" s="2">
        <v>42956</v>
      </c>
      <c r="G125">
        <v>76</v>
      </c>
      <c r="H125" t="s">
        <v>12</v>
      </c>
    </row>
    <row r="126" spans="1:8" x14ac:dyDescent="0.35">
      <c r="A126" t="s">
        <v>241</v>
      </c>
      <c r="B126" t="s">
        <v>105</v>
      </c>
      <c r="C126" t="s">
        <v>41</v>
      </c>
      <c r="D126" t="s">
        <v>165</v>
      </c>
      <c r="E126" s="2">
        <v>44930</v>
      </c>
      <c r="F126">
        <v>60623</v>
      </c>
      <c r="G126">
        <v>78</v>
      </c>
      <c r="H126" t="s">
        <v>45</v>
      </c>
    </row>
    <row r="127" spans="1:8" x14ac:dyDescent="0.35">
      <c r="A127" t="s">
        <v>242</v>
      </c>
      <c r="B127" t="s">
        <v>66</v>
      </c>
      <c r="C127" t="s">
        <v>32</v>
      </c>
      <c r="D127" t="s">
        <v>157</v>
      </c>
      <c r="E127" t="s">
        <v>243</v>
      </c>
      <c r="F127" t="s">
        <v>244</v>
      </c>
      <c r="G127">
        <v>93</v>
      </c>
      <c r="H127" t="s">
        <v>12</v>
      </c>
    </row>
    <row r="128" spans="1:8" x14ac:dyDescent="0.35">
      <c r="A128" t="s">
        <v>245</v>
      </c>
      <c r="B128" t="s">
        <v>43</v>
      </c>
      <c r="C128" t="s">
        <v>36</v>
      </c>
      <c r="D128" t="s">
        <v>16</v>
      </c>
      <c r="E128" s="2">
        <v>44653</v>
      </c>
      <c r="F128">
        <v>88155</v>
      </c>
      <c r="G128">
        <v>68</v>
      </c>
      <c r="H128" t="s">
        <v>45</v>
      </c>
    </row>
    <row r="129" spans="1:8" x14ac:dyDescent="0.35">
      <c r="A129" t="s">
        <v>246</v>
      </c>
      <c r="B129" t="s">
        <v>160</v>
      </c>
      <c r="C129" t="s">
        <v>60</v>
      </c>
      <c r="D129" t="s">
        <v>16</v>
      </c>
      <c r="E129" t="s">
        <v>247</v>
      </c>
      <c r="F129">
        <v>107903</v>
      </c>
      <c r="G129">
        <v>42</v>
      </c>
      <c r="H129" t="s">
        <v>17</v>
      </c>
    </row>
    <row r="130" spans="1:8" x14ac:dyDescent="0.35">
      <c r="A130" t="s">
        <v>248</v>
      </c>
      <c r="B130" t="s">
        <v>160</v>
      </c>
      <c r="C130" t="s">
        <v>54</v>
      </c>
      <c r="D130" t="s">
        <v>11</v>
      </c>
      <c r="E130" s="2">
        <v>43305</v>
      </c>
      <c r="F130">
        <v>62818</v>
      </c>
      <c r="G130">
        <v>34</v>
      </c>
      <c r="H130" t="s">
        <v>17</v>
      </c>
    </row>
    <row r="131" spans="1:8" x14ac:dyDescent="0.35">
      <c r="A131" t="s">
        <v>249</v>
      </c>
      <c r="B131" t="s">
        <v>113</v>
      </c>
      <c r="C131" t="s">
        <v>54</v>
      </c>
      <c r="D131" t="s">
        <v>157</v>
      </c>
      <c r="E131" s="2">
        <v>43301</v>
      </c>
      <c r="F131">
        <v>85151</v>
      </c>
      <c r="G131">
        <v>35</v>
      </c>
      <c r="H131" t="s">
        <v>17</v>
      </c>
    </row>
    <row r="132" spans="1:8" x14ac:dyDescent="0.35">
      <c r="A132" t="s">
        <v>250</v>
      </c>
      <c r="B132" t="s">
        <v>53</v>
      </c>
      <c r="C132" t="s">
        <v>64</v>
      </c>
      <c r="D132" t="s">
        <v>76</v>
      </c>
      <c r="E132" t="s">
        <v>251</v>
      </c>
      <c r="F132">
        <v>46390</v>
      </c>
      <c r="G132">
        <v>95</v>
      </c>
      <c r="H132" t="s">
        <v>51</v>
      </c>
    </row>
    <row r="133" spans="1:8" x14ac:dyDescent="0.35">
      <c r="A133" t="s">
        <v>174</v>
      </c>
      <c r="B133" t="s">
        <v>39</v>
      </c>
      <c r="C133" t="s">
        <v>133</v>
      </c>
      <c r="D133" t="s">
        <v>37</v>
      </c>
      <c r="E133" s="2">
        <v>42330</v>
      </c>
      <c r="F133">
        <v>86480</v>
      </c>
      <c r="H133" t="s">
        <v>17</v>
      </c>
    </row>
    <row r="134" spans="1:8" x14ac:dyDescent="0.35">
      <c r="A134" t="s">
        <v>252</v>
      </c>
      <c r="B134" t="s">
        <v>24</v>
      </c>
      <c r="C134" t="s">
        <v>25</v>
      </c>
      <c r="D134" t="s">
        <v>157</v>
      </c>
      <c r="E134" s="2">
        <v>44643</v>
      </c>
      <c r="F134">
        <v>111920</v>
      </c>
      <c r="G134">
        <v>90</v>
      </c>
      <c r="H134" t="s">
        <v>22</v>
      </c>
    </row>
    <row r="135" spans="1:8" x14ac:dyDescent="0.35">
      <c r="A135" t="s">
        <v>253</v>
      </c>
      <c r="B135" t="s">
        <v>113</v>
      </c>
      <c r="C135" t="s">
        <v>135</v>
      </c>
      <c r="D135" t="s">
        <v>138</v>
      </c>
      <c r="E135" t="s">
        <v>254</v>
      </c>
      <c r="F135" t="s">
        <v>255</v>
      </c>
      <c r="G135">
        <v>42</v>
      </c>
      <c r="H135" t="s">
        <v>17</v>
      </c>
    </row>
    <row r="136" spans="1:8" x14ac:dyDescent="0.35">
      <c r="A136" t="s">
        <v>256</v>
      </c>
      <c r="B136" t="s">
        <v>94</v>
      </c>
      <c r="C136" t="s">
        <v>29</v>
      </c>
      <c r="D136" t="s">
        <v>44</v>
      </c>
      <c r="E136" t="s">
        <v>257</v>
      </c>
      <c r="F136" t="s">
        <v>258</v>
      </c>
      <c r="G136">
        <v>88</v>
      </c>
      <c r="H136" t="s">
        <v>116</v>
      </c>
    </row>
    <row r="137" spans="1:8" x14ac:dyDescent="0.35">
      <c r="A137" t="s">
        <v>259</v>
      </c>
      <c r="B137" t="s">
        <v>105</v>
      </c>
      <c r="C137" t="s">
        <v>15</v>
      </c>
      <c r="D137" t="s">
        <v>37</v>
      </c>
      <c r="E137" t="s">
        <v>260</v>
      </c>
      <c r="F137">
        <v>108395</v>
      </c>
      <c r="G137">
        <v>78</v>
      </c>
      <c r="H137" t="s">
        <v>30</v>
      </c>
    </row>
    <row r="138" spans="1:8" x14ac:dyDescent="0.35">
      <c r="A138" t="s">
        <v>261</v>
      </c>
      <c r="B138" t="s">
        <v>105</v>
      </c>
      <c r="C138" t="s">
        <v>32</v>
      </c>
      <c r="D138" t="s">
        <v>26</v>
      </c>
      <c r="E138" s="2">
        <v>43091</v>
      </c>
      <c r="F138">
        <v>88005</v>
      </c>
      <c r="G138">
        <v>69</v>
      </c>
      <c r="H138" t="s">
        <v>51</v>
      </c>
    </row>
    <row r="139" spans="1:8" x14ac:dyDescent="0.35">
      <c r="A139" t="s">
        <v>86</v>
      </c>
      <c r="B139" t="s">
        <v>43</v>
      </c>
      <c r="C139" t="s">
        <v>36</v>
      </c>
      <c r="D139" t="s">
        <v>87</v>
      </c>
      <c r="E139" t="s">
        <v>88</v>
      </c>
      <c r="F139">
        <v>85312</v>
      </c>
      <c r="G139">
        <v>66</v>
      </c>
      <c r="H139" t="s">
        <v>12</v>
      </c>
    </row>
    <row r="140" spans="1:8" x14ac:dyDescent="0.35">
      <c r="A140" t="s">
        <v>262</v>
      </c>
      <c r="B140" t="s">
        <v>53</v>
      </c>
      <c r="C140" t="s">
        <v>133</v>
      </c>
      <c r="D140" t="s">
        <v>61</v>
      </c>
      <c r="E140" t="s">
        <v>263</v>
      </c>
      <c r="F140">
        <v>83007</v>
      </c>
      <c r="G140">
        <v>82</v>
      </c>
      <c r="H140" t="s">
        <v>45</v>
      </c>
    </row>
    <row r="141" spans="1:8" x14ac:dyDescent="0.35">
      <c r="A141" t="s">
        <v>264</v>
      </c>
      <c r="B141" t="s">
        <v>113</v>
      </c>
      <c r="C141" t="s">
        <v>64</v>
      </c>
      <c r="D141" t="s">
        <v>11</v>
      </c>
      <c r="E141" s="2">
        <v>43360</v>
      </c>
      <c r="F141" t="s">
        <v>265</v>
      </c>
      <c r="G141">
        <v>68</v>
      </c>
      <c r="H141" t="s">
        <v>17</v>
      </c>
    </row>
    <row r="142" spans="1:8" x14ac:dyDescent="0.35">
      <c r="A142" t="s">
        <v>266</v>
      </c>
      <c r="B142" t="s">
        <v>66</v>
      </c>
      <c r="C142" t="s">
        <v>36</v>
      </c>
      <c r="D142" t="s">
        <v>48</v>
      </c>
      <c r="E142" s="2">
        <v>44375</v>
      </c>
      <c r="G142">
        <v>52</v>
      </c>
      <c r="H142" t="s">
        <v>45</v>
      </c>
    </row>
    <row r="143" spans="1:8" x14ac:dyDescent="0.35">
      <c r="A143" t="s">
        <v>267</v>
      </c>
      <c r="B143" t="s">
        <v>14</v>
      </c>
      <c r="C143" t="s">
        <v>32</v>
      </c>
      <c r="D143" t="s">
        <v>33</v>
      </c>
      <c r="E143" t="s">
        <v>268</v>
      </c>
      <c r="F143">
        <v>50399</v>
      </c>
      <c r="G143">
        <v>92</v>
      </c>
      <c r="H143" t="s">
        <v>108</v>
      </c>
    </row>
    <row r="144" spans="1:8" x14ac:dyDescent="0.35">
      <c r="A144" t="s">
        <v>269</v>
      </c>
      <c r="B144" t="s">
        <v>14</v>
      </c>
      <c r="C144" t="s">
        <v>54</v>
      </c>
      <c r="D144" t="s">
        <v>26</v>
      </c>
      <c r="E144" t="s">
        <v>270</v>
      </c>
      <c r="G144">
        <v>62</v>
      </c>
      <c r="H144" t="s">
        <v>17</v>
      </c>
    </row>
    <row r="145" spans="1:8" x14ac:dyDescent="0.35">
      <c r="A145" t="s">
        <v>271</v>
      </c>
      <c r="B145" t="s">
        <v>24</v>
      </c>
      <c r="C145" t="s">
        <v>15</v>
      </c>
      <c r="D145" t="s">
        <v>33</v>
      </c>
      <c r="E145" s="2">
        <v>43257</v>
      </c>
      <c r="F145">
        <v>52720</v>
      </c>
      <c r="G145">
        <v>68</v>
      </c>
      <c r="H145" t="s">
        <v>17</v>
      </c>
    </row>
    <row r="146" spans="1:8" x14ac:dyDescent="0.35">
      <c r="A146" t="s">
        <v>272</v>
      </c>
      <c r="B146" t="s">
        <v>94</v>
      </c>
      <c r="C146" t="s">
        <v>19</v>
      </c>
      <c r="D146" t="s">
        <v>33</v>
      </c>
      <c r="E146" s="2">
        <v>42932</v>
      </c>
      <c r="F146">
        <v>65065</v>
      </c>
      <c r="G146">
        <v>98</v>
      </c>
      <c r="H146" t="s">
        <v>45</v>
      </c>
    </row>
    <row r="147" spans="1:8" x14ac:dyDescent="0.35">
      <c r="A147" t="s">
        <v>273</v>
      </c>
      <c r="B147" t="s">
        <v>105</v>
      </c>
      <c r="C147" t="s">
        <v>15</v>
      </c>
      <c r="D147" t="s">
        <v>44</v>
      </c>
      <c r="E147" s="2">
        <v>42175</v>
      </c>
      <c r="G147">
        <v>94</v>
      </c>
      <c r="H147" t="s">
        <v>116</v>
      </c>
    </row>
    <row r="148" spans="1:8" x14ac:dyDescent="0.35">
      <c r="A148" t="s">
        <v>274</v>
      </c>
      <c r="B148" t="s">
        <v>105</v>
      </c>
      <c r="C148" t="s">
        <v>15</v>
      </c>
      <c r="D148" t="s">
        <v>37</v>
      </c>
      <c r="E148" s="2">
        <v>43609</v>
      </c>
      <c r="F148" t="s">
        <v>275</v>
      </c>
      <c r="G148">
        <v>57</v>
      </c>
      <c r="H148" t="s">
        <v>116</v>
      </c>
    </row>
    <row r="149" spans="1:8" x14ac:dyDescent="0.35">
      <c r="A149" t="s">
        <v>276</v>
      </c>
      <c r="B149" t="s">
        <v>24</v>
      </c>
      <c r="C149" t="s">
        <v>64</v>
      </c>
      <c r="D149" t="s">
        <v>84</v>
      </c>
      <c r="E149" s="2">
        <v>43887</v>
      </c>
      <c r="G149">
        <v>96</v>
      </c>
      <c r="H149" t="s">
        <v>12</v>
      </c>
    </row>
    <row r="150" spans="1:8" x14ac:dyDescent="0.35">
      <c r="A150" t="s">
        <v>277</v>
      </c>
      <c r="B150" t="s">
        <v>14</v>
      </c>
      <c r="C150" t="s">
        <v>64</v>
      </c>
      <c r="D150" t="s">
        <v>97</v>
      </c>
      <c r="E150" s="2">
        <v>44991</v>
      </c>
      <c r="F150">
        <v>106896</v>
      </c>
      <c r="G150">
        <v>52</v>
      </c>
      <c r="H150" t="s">
        <v>22</v>
      </c>
    </row>
    <row r="151" spans="1:8" x14ac:dyDescent="0.35">
      <c r="A151" t="s">
        <v>278</v>
      </c>
      <c r="C151" t="s">
        <v>60</v>
      </c>
      <c r="D151" t="s">
        <v>20</v>
      </c>
      <c r="E151" t="s">
        <v>279</v>
      </c>
      <c r="F151">
        <v>112887</v>
      </c>
      <c r="G151">
        <v>59</v>
      </c>
      <c r="H151" t="s">
        <v>51</v>
      </c>
    </row>
    <row r="152" spans="1:8" x14ac:dyDescent="0.35">
      <c r="A152" t="s">
        <v>215</v>
      </c>
      <c r="B152" t="s">
        <v>66</v>
      </c>
      <c r="C152" t="s">
        <v>60</v>
      </c>
      <c r="D152" t="s">
        <v>11</v>
      </c>
      <c r="E152" s="2">
        <v>44394</v>
      </c>
      <c r="F152">
        <v>91672</v>
      </c>
      <c r="G152">
        <v>88</v>
      </c>
      <c r="H152" t="s">
        <v>17</v>
      </c>
    </row>
    <row r="153" spans="1:8" x14ac:dyDescent="0.35">
      <c r="A153" t="s">
        <v>280</v>
      </c>
      <c r="B153" t="s">
        <v>160</v>
      </c>
      <c r="C153" t="s">
        <v>41</v>
      </c>
      <c r="D153" t="s">
        <v>26</v>
      </c>
      <c r="E153" s="2">
        <v>45037</v>
      </c>
      <c r="F153">
        <v>85457</v>
      </c>
      <c r="G153">
        <v>79</v>
      </c>
      <c r="H153" t="s">
        <v>17</v>
      </c>
    </row>
    <row r="154" spans="1:8" x14ac:dyDescent="0.35">
      <c r="A154" t="s">
        <v>281</v>
      </c>
      <c r="B154" t="s">
        <v>105</v>
      </c>
      <c r="C154" t="s">
        <v>47</v>
      </c>
      <c r="D154" t="s">
        <v>48</v>
      </c>
      <c r="E154" s="2">
        <v>42519</v>
      </c>
      <c r="F154">
        <v>62798</v>
      </c>
      <c r="G154">
        <v>30</v>
      </c>
      <c r="H154" t="s">
        <v>17</v>
      </c>
    </row>
    <row r="155" spans="1:8" x14ac:dyDescent="0.35">
      <c r="A155" t="s">
        <v>282</v>
      </c>
      <c r="B155" t="s">
        <v>9</v>
      </c>
      <c r="C155" t="s">
        <v>25</v>
      </c>
      <c r="D155" t="s">
        <v>33</v>
      </c>
      <c r="E155" s="2">
        <v>44711</v>
      </c>
      <c r="F155">
        <v>47794</v>
      </c>
      <c r="G155">
        <v>73</v>
      </c>
      <c r="H155" t="s">
        <v>22</v>
      </c>
    </row>
    <row r="156" spans="1:8" x14ac:dyDescent="0.35">
      <c r="A156" t="s">
        <v>89</v>
      </c>
      <c r="B156" t="s">
        <v>24</v>
      </c>
      <c r="C156" t="s">
        <v>41</v>
      </c>
      <c r="D156" t="s">
        <v>44</v>
      </c>
      <c r="E156" s="2">
        <v>42202</v>
      </c>
      <c r="G156">
        <v>68</v>
      </c>
      <c r="H156" t="s">
        <v>12</v>
      </c>
    </row>
    <row r="157" spans="1:8" x14ac:dyDescent="0.35">
      <c r="A157" t="s">
        <v>283</v>
      </c>
      <c r="B157" t="s">
        <v>66</v>
      </c>
      <c r="C157" t="s">
        <v>41</v>
      </c>
      <c r="D157" t="s">
        <v>16</v>
      </c>
      <c r="E157" t="s">
        <v>284</v>
      </c>
      <c r="F157">
        <v>93094</v>
      </c>
      <c r="G157">
        <v>74</v>
      </c>
      <c r="H157" t="s">
        <v>12</v>
      </c>
    </row>
    <row r="158" spans="1:8" x14ac:dyDescent="0.35">
      <c r="A158" t="s">
        <v>285</v>
      </c>
      <c r="B158" t="s">
        <v>71</v>
      </c>
      <c r="C158" t="s">
        <v>10</v>
      </c>
      <c r="D158" t="s">
        <v>11</v>
      </c>
      <c r="E158" s="2">
        <v>44848</v>
      </c>
      <c r="F158" t="s">
        <v>286</v>
      </c>
      <c r="G158">
        <v>91</v>
      </c>
      <c r="H158" t="s">
        <v>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249977111117893"/>
  </sheetPr>
  <dimension ref="B1:AB151"/>
  <sheetViews>
    <sheetView topLeftCell="A3" zoomScale="60" zoomScaleNormal="60" workbookViewId="0"/>
  </sheetViews>
  <sheetFormatPr defaultRowHeight="14.5" x14ac:dyDescent="0.35"/>
  <cols>
    <col min="1" max="1" width="28.90625" customWidth="1"/>
    <col min="2" max="2" width="20.1796875" style="4" customWidth="1"/>
    <col min="3" max="3" width="11.1796875" style="8" bestFit="1" customWidth="1"/>
    <col min="4" max="4" width="10.7265625" style="4" bestFit="1" customWidth="1"/>
    <col min="5" max="5" width="19.453125" style="4" bestFit="1" customWidth="1"/>
    <col min="6" max="6" width="9.1796875" style="4"/>
    <col min="7" max="7" width="15.54296875" style="8" bestFit="1" customWidth="1"/>
    <col min="8" max="8" width="15.54296875" style="8" customWidth="1"/>
    <col min="9" max="9" width="18.26953125" style="12" bestFit="1" customWidth="1"/>
    <col min="10" max="10" width="18.26953125" style="6" customWidth="1"/>
    <col min="11" max="11" width="14.6328125" style="15" customWidth="1"/>
    <col min="12" max="12" width="11.1796875" style="15" customWidth="1"/>
    <col min="13" max="14" width="9.1796875" style="6"/>
    <col min="15" max="15" width="17.54296875" style="4" bestFit="1" customWidth="1"/>
    <col min="16" max="16" width="17.54296875" style="24" customWidth="1"/>
    <col min="17" max="17" width="17.54296875" style="26" customWidth="1"/>
    <col min="18" max="18" width="9.1796875" style="4"/>
    <col min="19" max="19" width="9.26953125" customWidth="1"/>
    <col min="20" max="20" width="17.54296875" bestFit="1" customWidth="1"/>
    <col min="23" max="23" width="49.453125" bestFit="1" customWidth="1"/>
  </cols>
  <sheetData>
    <row r="1" spans="2:23" x14ac:dyDescent="0.35">
      <c r="B1" s="3" t="s">
        <v>0</v>
      </c>
      <c r="C1" s="7" t="s">
        <v>1</v>
      </c>
      <c r="D1" s="3" t="s">
        <v>2</v>
      </c>
      <c r="E1" s="11" t="s">
        <v>304</v>
      </c>
      <c r="F1" s="3" t="s">
        <v>3</v>
      </c>
      <c r="G1" s="9" t="s">
        <v>3</v>
      </c>
      <c r="H1" s="10" t="s">
        <v>414</v>
      </c>
      <c r="I1" s="13" t="s">
        <v>4</v>
      </c>
      <c r="J1" s="17" t="s">
        <v>421</v>
      </c>
      <c r="K1" s="14" t="s">
        <v>5</v>
      </c>
      <c r="L1" s="16" t="s">
        <v>418</v>
      </c>
      <c r="M1" s="5" t="s">
        <v>6</v>
      </c>
      <c r="N1" s="17" t="s">
        <v>420</v>
      </c>
      <c r="O1" s="33" t="s">
        <v>422</v>
      </c>
      <c r="P1" s="25" t="s">
        <v>425</v>
      </c>
      <c r="Q1" s="32" t="s">
        <v>424</v>
      </c>
      <c r="R1" s="3" t="s">
        <v>7</v>
      </c>
      <c r="S1" s="11" t="s">
        <v>7</v>
      </c>
      <c r="U1" s="18"/>
    </row>
    <row r="2" spans="2:23" x14ac:dyDescent="0.35">
      <c r="B2" s="4" t="s">
        <v>8</v>
      </c>
      <c r="C2" s="4" t="s">
        <v>9</v>
      </c>
      <c r="D2" s="4" t="s">
        <v>10</v>
      </c>
      <c r="E2" s="4" t="s">
        <v>305</v>
      </c>
      <c r="F2" s="4" t="s">
        <v>11</v>
      </c>
      <c r="G2" s="8" t="str">
        <f>UPPER(TRIM(F:F))</f>
        <v>IT02</v>
      </c>
      <c r="H2" s="8" t="str">
        <f>VLOOKUP(G:G,Lookup_Departments!A:B,2,0)</f>
        <v>Information Technology</v>
      </c>
      <c r="I2" s="12">
        <v>43093</v>
      </c>
      <c r="J2" s="6">
        <f ca="1">DATEDIF(I2,TODAY(),"Y")</f>
        <v>8</v>
      </c>
      <c r="K2" s="15">
        <v>50361</v>
      </c>
      <c r="L2" s="15">
        <f>AVERAGE(K:K)</f>
        <v>83603.930769230807</v>
      </c>
      <c r="M2" s="6">
        <v>52</v>
      </c>
      <c r="N2" s="6">
        <f>AVERAGE(M:M)</f>
        <v>67.647511737089076</v>
      </c>
      <c r="O2" s="40" t="str">
        <f>IF(M2&gt;95,"Outstanding",IF(M2&gt;85,"Exceeding",IF(M2&gt;70,"Achieving",IF(M2&gt;50,"Developing",IF(M2&lt;50,"Needs Improvement")))))</f>
        <v>Developing</v>
      </c>
      <c r="P2" s="31" t="str">
        <f>IF(M2&gt;95,"0.12",IF(M2&gt;85,"0.08",IF(M2&gt;70,"0.05",IF(M2&gt;50,"0.02",IF(M2&lt;50,"0")))))</f>
        <v>0.02</v>
      </c>
      <c r="Q2" s="28">
        <f>K2*P2</f>
        <v>1007.22</v>
      </c>
      <c r="R2" s="4" t="s">
        <v>12</v>
      </c>
      <c r="S2" t="str">
        <f t="shared" ref="S2:S33" si="0">PROPER(TRIM(R:R))</f>
        <v>Active</v>
      </c>
    </row>
    <row r="3" spans="2:23" x14ac:dyDescent="0.35">
      <c r="B3" s="4" t="s">
        <v>13</v>
      </c>
      <c r="C3" s="4" t="s">
        <v>14</v>
      </c>
      <c r="D3" s="4" t="s">
        <v>15</v>
      </c>
      <c r="E3" s="4" t="s">
        <v>306</v>
      </c>
      <c r="F3" s="4" t="s">
        <v>16</v>
      </c>
      <c r="G3" s="8" t="str">
        <f t="shared" ref="G3:G66" si="1">UPPER(TRIM(F:F))</f>
        <v>MKT04</v>
      </c>
      <c r="H3" s="8" t="str">
        <f>VLOOKUP(G:G,Lookup_Departments!A:B,2,0)</f>
        <v>Marketing</v>
      </c>
      <c r="I3" s="12">
        <v>44659</v>
      </c>
      <c r="J3" s="6">
        <f t="shared" ref="J3:J66" ca="1" si="2">DATEDIF(I3,TODAY(),"Y")</f>
        <v>4</v>
      </c>
      <c r="K3" s="15">
        <v>112673</v>
      </c>
      <c r="M3" s="6">
        <v>68.077464788732399</v>
      </c>
      <c r="O3" s="4" t="str">
        <f t="shared" ref="O3:O66" si="3">IF(M3&gt;95,"Outstanding",IF(M3&gt;85,"Exceeding",IF(M3&gt;70,"Achieving",IF(M3&gt;50,"Developing",IF(M3&lt;50,"Needs Improvement")))))</f>
        <v>Developing</v>
      </c>
      <c r="P3" s="24" t="str">
        <f t="shared" ref="P3:P66" si="4">IF(M3&gt;95,"0.12",IF(M3&gt;85,"0.08",IF(M3&gt;70,"0.05",IF(M3&gt;50,"0.02",IF(M3&lt;50,"0")))))</f>
        <v>0.02</v>
      </c>
      <c r="Q3" s="28">
        <f t="shared" ref="Q3:Q66" si="5">K3*P3</f>
        <v>2253.46</v>
      </c>
      <c r="R3" s="4" t="s">
        <v>17</v>
      </c>
      <c r="S3" t="str">
        <f t="shared" si="0"/>
        <v>Active</v>
      </c>
    </row>
    <row r="4" spans="2:23" x14ac:dyDescent="0.35">
      <c r="B4" s="4" t="s">
        <v>18</v>
      </c>
      <c r="C4" s="4" t="s">
        <v>9</v>
      </c>
      <c r="D4" s="4" t="s">
        <v>19</v>
      </c>
      <c r="E4" s="4" t="s">
        <v>307</v>
      </c>
      <c r="F4" s="4" t="s">
        <v>20</v>
      </c>
      <c r="G4" s="8" t="str">
        <f t="shared" si="1"/>
        <v>IT02</v>
      </c>
      <c r="H4" s="8" t="str">
        <f>VLOOKUP(G:G,Lookup_Departments!A:B,2,0)</f>
        <v>Information Technology</v>
      </c>
      <c r="I4" s="12">
        <v>42431</v>
      </c>
      <c r="J4" s="6">
        <f t="shared" ca="1" si="2"/>
        <v>10</v>
      </c>
      <c r="K4" s="15">
        <v>114425</v>
      </c>
      <c r="M4" s="6">
        <v>54</v>
      </c>
      <c r="O4" s="4" t="str">
        <f t="shared" si="3"/>
        <v>Developing</v>
      </c>
      <c r="P4" s="24" t="str">
        <f t="shared" si="4"/>
        <v>0.02</v>
      </c>
      <c r="Q4" s="28">
        <f t="shared" si="5"/>
        <v>2288.5</v>
      </c>
      <c r="R4" s="4" t="s">
        <v>22</v>
      </c>
      <c r="S4" t="str">
        <f t="shared" si="0"/>
        <v>Left</v>
      </c>
    </row>
    <row r="5" spans="2:23" x14ac:dyDescent="0.35">
      <c r="B5" s="4" t="s">
        <v>23</v>
      </c>
      <c r="C5" s="4" t="s">
        <v>24</v>
      </c>
      <c r="D5" s="4" t="s">
        <v>25</v>
      </c>
      <c r="E5" s="4" t="s">
        <v>308</v>
      </c>
      <c r="F5" s="4" t="s">
        <v>26</v>
      </c>
      <c r="G5" s="8" t="str">
        <f t="shared" si="1"/>
        <v>FIN03</v>
      </c>
      <c r="H5" s="8" t="str">
        <f>VLOOKUP(G:G,Lookup_Departments!A:B,2,0)</f>
        <v>Finance</v>
      </c>
      <c r="I5" s="12">
        <v>45110</v>
      </c>
      <c r="J5" s="6">
        <f t="shared" ca="1" si="2"/>
        <v>3</v>
      </c>
      <c r="K5" s="15">
        <v>103831</v>
      </c>
      <c r="M5" s="6">
        <v>70</v>
      </c>
      <c r="O5" s="4" t="str">
        <f t="shared" si="3"/>
        <v>Developing</v>
      </c>
      <c r="P5" s="24" t="str">
        <f t="shared" si="4"/>
        <v>0.02</v>
      </c>
      <c r="Q5" s="28">
        <f t="shared" si="5"/>
        <v>2076.62</v>
      </c>
      <c r="R5" s="4" t="s">
        <v>12</v>
      </c>
      <c r="S5" t="str">
        <f t="shared" si="0"/>
        <v>Active</v>
      </c>
    </row>
    <row r="6" spans="2:23" x14ac:dyDescent="0.35">
      <c r="B6" s="4" t="s">
        <v>27</v>
      </c>
      <c r="C6" s="4" t="s">
        <v>28</v>
      </c>
      <c r="D6" s="4" t="s">
        <v>29</v>
      </c>
      <c r="E6" s="4" t="s">
        <v>309</v>
      </c>
      <c r="F6" s="4" t="s">
        <v>11</v>
      </c>
      <c r="G6" s="8" t="str">
        <f t="shared" si="1"/>
        <v>IT02</v>
      </c>
      <c r="H6" s="8" t="str">
        <f>VLOOKUP(G:G,Lookup_Departments!A:B,2,0)</f>
        <v>Information Technology</v>
      </c>
      <c r="I6" s="12">
        <v>44977</v>
      </c>
      <c r="J6" s="6">
        <f t="shared" ca="1" si="2"/>
        <v>3</v>
      </c>
      <c r="K6" s="15">
        <v>73785</v>
      </c>
      <c r="M6" s="6">
        <v>40</v>
      </c>
      <c r="O6" s="4" t="str">
        <f t="shared" si="3"/>
        <v>Needs Improvement</v>
      </c>
      <c r="P6" s="24" t="str">
        <f t="shared" si="4"/>
        <v>0</v>
      </c>
      <c r="Q6" s="28">
        <f t="shared" si="5"/>
        <v>0</v>
      </c>
      <c r="R6" s="4" t="s">
        <v>30</v>
      </c>
      <c r="S6" t="str">
        <f t="shared" si="0"/>
        <v>Left</v>
      </c>
      <c r="W6" t="s">
        <v>415</v>
      </c>
    </row>
    <row r="7" spans="2:23" x14ac:dyDescent="0.35">
      <c r="B7" s="4" t="s">
        <v>31</v>
      </c>
      <c r="C7" s="4" t="s">
        <v>9</v>
      </c>
      <c r="D7" s="4" t="s">
        <v>32</v>
      </c>
      <c r="E7" s="4" t="s">
        <v>310</v>
      </c>
      <c r="F7" s="4" t="s">
        <v>33</v>
      </c>
      <c r="G7" s="8" t="str">
        <f t="shared" si="1"/>
        <v>OPS06</v>
      </c>
      <c r="H7" s="8" t="str">
        <f>VLOOKUP(G:G,Lookup_Departments!A:B,2,0)</f>
        <v>Operations</v>
      </c>
      <c r="I7" s="12">
        <v>43892</v>
      </c>
      <c r="J7" s="6">
        <f t="shared" ca="1" si="2"/>
        <v>6</v>
      </c>
      <c r="K7" s="15">
        <v>115882</v>
      </c>
      <c r="M7" s="6">
        <v>49</v>
      </c>
      <c r="O7" s="4" t="str">
        <f t="shared" si="3"/>
        <v>Needs Improvement</v>
      </c>
      <c r="P7" s="24" t="str">
        <f t="shared" si="4"/>
        <v>0</v>
      </c>
      <c r="Q7" s="28">
        <f t="shared" si="5"/>
        <v>0</v>
      </c>
      <c r="R7" s="4" t="s">
        <v>17</v>
      </c>
      <c r="S7" t="str">
        <f t="shared" si="0"/>
        <v>Active</v>
      </c>
      <c r="W7" t="s">
        <v>416</v>
      </c>
    </row>
    <row r="8" spans="2:23" x14ac:dyDescent="0.35">
      <c r="B8" s="4" t="s">
        <v>35</v>
      </c>
      <c r="C8" s="4" t="s">
        <v>24</v>
      </c>
      <c r="D8" s="4" t="s">
        <v>36</v>
      </c>
      <c r="E8" s="4" t="s">
        <v>311</v>
      </c>
      <c r="F8" s="4" t="s">
        <v>37</v>
      </c>
      <c r="G8" s="8" t="str">
        <f t="shared" si="1"/>
        <v>OPS06</v>
      </c>
      <c r="H8" s="8" t="str">
        <f>VLOOKUP(G:G,Lookup_Departments!A:B,2,0)</f>
        <v>Operations</v>
      </c>
      <c r="I8" s="12">
        <v>45272</v>
      </c>
      <c r="J8" s="6">
        <f t="shared" ca="1" si="2"/>
        <v>2</v>
      </c>
      <c r="K8" s="15">
        <v>59980</v>
      </c>
      <c r="M8" s="6">
        <v>70</v>
      </c>
      <c r="O8" s="4" t="str">
        <f t="shared" si="3"/>
        <v>Developing</v>
      </c>
      <c r="P8" s="24" t="str">
        <f t="shared" si="4"/>
        <v>0.02</v>
      </c>
      <c r="Q8" s="28">
        <f t="shared" si="5"/>
        <v>1199.6000000000001</v>
      </c>
      <c r="R8" s="4" t="s">
        <v>30</v>
      </c>
      <c r="S8" t="str">
        <f t="shared" si="0"/>
        <v>Left</v>
      </c>
      <c r="W8" t="s">
        <v>445</v>
      </c>
    </row>
    <row r="9" spans="2:23" x14ac:dyDescent="0.35">
      <c r="B9" s="4" t="s">
        <v>38</v>
      </c>
      <c r="C9" s="4" t="s">
        <v>39</v>
      </c>
      <c r="D9" s="4" t="s">
        <v>29</v>
      </c>
      <c r="E9" s="4" t="s">
        <v>312</v>
      </c>
      <c r="F9" s="4" t="s">
        <v>37</v>
      </c>
      <c r="G9" s="8" t="str">
        <f t="shared" si="1"/>
        <v>OPS06</v>
      </c>
      <c r="H9" s="8" t="str">
        <f>VLOOKUP(G:G,Lookup_Departments!A:B,2,0)</f>
        <v>Operations</v>
      </c>
      <c r="I9" s="12">
        <v>44174</v>
      </c>
      <c r="J9" s="6">
        <f t="shared" ca="1" si="2"/>
        <v>5</v>
      </c>
      <c r="K9" s="15">
        <v>68728</v>
      </c>
      <c r="M9" s="6">
        <v>45</v>
      </c>
      <c r="O9" s="4" t="str">
        <f t="shared" si="3"/>
        <v>Needs Improvement</v>
      </c>
      <c r="P9" s="24" t="str">
        <f t="shared" si="4"/>
        <v>0</v>
      </c>
      <c r="Q9" s="28">
        <f t="shared" si="5"/>
        <v>0</v>
      </c>
      <c r="R9" s="4" t="s">
        <v>17</v>
      </c>
      <c r="S9" t="str">
        <f t="shared" si="0"/>
        <v>Active</v>
      </c>
      <c r="W9" t="s">
        <v>417</v>
      </c>
    </row>
    <row r="10" spans="2:23" x14ac:dyDescent="0.35">
      <c r="B10" s="4" t="s">
        <v>40</v>
      </c>
      <c r="C10" s="4" t="s">
        <v>41</v>
      </c>
      <c r="D10" s="4" t="s">
        <v>41</v>
      </c>
      <c r="E10" s="4" t="s">
        <v>313</v>
      </c>
      <c r="F10" s="4" t="s">
        <v>26</v>
      </c>
      <c r="G10" s="8" t="str">
        <f t="shared" si="1"/>
        <v>FIN03</v>
      </c>
      <c r="H10" s="8" t="str">
        <f>VLOOKUP(G:G,Lookup_Departments!A:B,2,0)</f>
        <v>Finance</v>
      </c>
      <c r="I10" s="12">
        <v>43107</v>
      </c>
      <c r="J10" s="6">
        <f t="shared" ca="1" si="2"/>
        <v>8</v>
      </c>
      <c r="K10" s="15">
        <v>102139</v>
      </c>
      <c r="M10" s="6">
        <v>79</v>
      </c>
      <c r="O10" s="4" t="str">
        <f t="shared" si="3"/>
        <v>Achieving</v>
      </c>
      <c r="P10" s="24" t="str">
        <f t="shared" si="4"/>
        <v>0.05</v>
      </c>
      <c r="Q10" s="28">
        <f t="shared" si="5"/>
        <v>5106.9500000000007</v>
      </c>
      <c r="R10" s="4" t="s">
        <v>12</v>
      </c>
      <c r="S10" t="str">
        <f t="shared" si="0"/>
        <v>Active</v>
      </c>
      <c r="W10" t="s">
        <v>419</v>
      </c>
    </row>
    <row r="11" spans="2:23" x14ac:dyDescent="0.35">
      <c r="B11" s="4" t="s">
        <v>42</v>
      </c>
      <c r="C11" s="4" t="s">
        <v>43</v>
      </c>
      <c r="D11" s="4" t="s">
        <v>25</v>
      </c>
      <c r="E11" s="4" t="s">
        <v>314</v>
      </c>
      <c r="F11" s="4" t="s">
        <v>44</v>
      </c>
      <c r="G11" s="8" t="str">
        <f t="shared" si="1"/>
        <v>SAL05</v>
      </c>
      <c r="H11" s="8" t="str">
        <f>VLOOKUP(G:G,Lookup_Departments!A:B,2,0)</f>
        <v>Sales</v>
      </c>
      <c r="I11" s="12">
        <v>42676</v>
      </c>
      <c r="J11" s="6">
        <f t="shared" ca="1" si="2"/>
        <v>9</v>
      </c>
      <c r="K11" s="15">
        <v>94998</v>
      </c>
      <c r="M11" s="6">
        <v>58</v>
      </c>
      <c r="O11" s="4" t="str">
        <f t="shared" si="3"/>
        <v>Developing</v>
      </c>
      <c r="P11" s="24" t="str">
        <f t="shared" si="4"/>
        <v>0.02</v>
      </c>
      <c r="Q11" s="28">
        <f t="shared" si="5"/>
        <v>1899.96</v>
      </c>
      <c r="R11" s="4" t="s">
        <v>45</v>
      </c>
      <c r="S11" t="str">
        <f t="shared" si="0"/>
        <v>Active</v>
      </c>
      <c r="W11" s="47" t="s">
        <v>423</v>
      </c>
    </row>
    <row r="12" spans="2:23" x14ac:dyDescent="0.35">
      <c r="B12" s="4" t="s">
        <v>46</v>
      </c>
      <c r="C12" s="4" t="s">
        <v>9</v>
      </c>
      <c r="D12" s="4" t="s">
        <v>47</v>
      </c>
      <c r="E12" s="4" t="s">
        <v>315</v>
      </c>
      <c r="F12" s="4" t="s">
        <v>48</v>
      </c>
      <c r="G12" s="8" t="str">
        <f t="shared" si="1"/>
        <v>SAL05</v>
      </c>
      <c r="H12" s="8" t="str">
        <f>VLOOKUP(G:G,Lookup_Departments!A:B,2,0)</f>
        <v>Sales</v>
      </c>
      <c r="I12" s="12">
        <v>43911</v>
      </c>
      <c r="J12" s="6">
        <f t="shared" ca="1" si="2"/>
        <v>6</v>
      </c>
      <c r="K12" s="15">
        <v>118635</v>
      </c>
      <c r="M12" s="6">
        <v>49</v>
      </c>
      <c r="O12" s="4" t="str">
        <f t="shared" si="3"/>
        <v>Needs Improvement</v>
      </c>
      <c r="P12" s="24" t="str">
        <f t="shared" si="4"/>
        <v>0</v>
      </c>
      <c r="Q12" s="28">
        <f t="shared" si="5"/>
        <v>0</v>
      </c>
      <c r="R12" s="4" t="s">
        <v>45</v>
      </c>
      <c r="S12" t="str">
        <f t="shared" si="0"/>
        <v>Active</v>
      </c>
      <c r="W12" t="s">
        <v>446</v>
      </c>
    </row>
    <row r="13" spans="2:23" x14ac:dyDescent="0.35">
      <c r="B13" s="4" t="s">
        <v>50</v>
      </c>
      <c r="C13" s="4" t="s">
        <v>9</v>
      </c>
      <c r="D13" s="4" t="s">
        <v>15</v>
      </c>
      <c r="E13" s="4" t="s">
        <v>316</v>
      </c>
      <c r="F13" s="4" t="s">
        <v>11</v>
      </c>
      <c r="G13" s="8" t="str">
        <f t="shared" si="1"/>
        <v>IT02</v>
      </c>
      <c r="H13" s="8" t="str">
        <f>VLOOKUP(G:G,Lookup_Departments!A:B,2,0)</f>
        <v>Information Technology</v>
      </c>
      <c r="I13" s="12">
        <v>42425</v>
      </c>
      <c r="J13" s="6">
        <f t="shared" ca="1" si="2"/>
        <v>10</v>
      </c>
      <c r="K13" s="15">
        <v>76918</v>
      </c>
      <c r="M13" s="6">
        <v>62</v>
      </c>
      <c r="O13" s="4" t="str">
        <f t="shared" si="3"/>
        <v>Developing</v>
      </c>
      <c r="P13" s="24" t="str">
        <f t="shared" si="4"/>
        <v>0.02</v>
      </c>
      <c r="Q13" s="28">
        <f t="shared" si="5"/>
        <v>1538.3600000000001</v>
      </c>
      <c r="R13" s="4" t="s">
        <v>45</v>
      </c>
      <c r="S13" t="str">
        <f t="shared" si="0"/>
        <v>Active</v>
      </c>
      <c r="W13" t="s">
        <v>447</v>
      </c>
    </row>
    <row r="14" spans="2:23" x14ac:dyDescent="0.35">
      <c r="B14" s="4" t="s">
        <v>52</v>
      </c>
      <c r="C14" s="4" t="s">
        <v>53</v>
      </c>
      <c r="D14" s="4" t="s">
        <v>54</v>
      </c>
      <c r="E14" s="4" t="s">
        <v>317</v>
      </c>
      <c r="F14" s="4" t="s">
        <v>55</v>
      </c>
      <c r="G14" s="8" t="str">
        <f t="shared" si="1"/>
        <v>MKT04</v>
      </c>
      <c r="H14" s="8" t="str">
        <f>VLOOKUP(G:G,Lookup_Departments!A:B,2,0)</f>
        <v>Marketing</v>
      </c>
      <c r="I14" s="12">
        <v>44364</v>
      </c>
      <c r="J14" s="6">
        <f t="shared" ca="1" si="2"/>
        <v>5</v>
      </c>
      <c r="K14" s="15">
        <v>61408</v>
      </c>
      <c r="M14" s="6">
        <v>48</v>
      </c>
      <c r="O14" s="4" t="str">
        <f t="shared" si="3"/>
        <v>Needs Improvement</v>
      </c>
      <c r="P14" s="24" t="str">
        <f t="shared" si="4"/>
        <v>0</v>
      </c>
      <c r="Q14" s="28">
        <f t="shared" si="5"/>
        <v>0</v>
      </c>
      <c r="R14" s="4" t="s">
        <v>17</v>
      </c>
      <c r="S14" t="str">
        <f t="shared" si="0"/>
        <v>Active</v>
      </c>
      <c r="W14" s="48" t="s">
        <v>448</v>
      </c>
    </row>
    <row r="15" spans="2:23" x14ac:dyDescent="0.35">
      <c r="B15" s="4" t="s">
        <v>57</v>
      </c>
      <c r="C15" s="4" t="s">
        <v>53</v>
      </c>
      <c r="D15" s="4" t="s">
        <v>47</v>
      </c>
      <c r="E15" s="4" t="s">
        <v>318</v>
      </c>
      <c r="F15" s="4" t="s">
        <v>16</v>
      </c>
      <c r="G15" s="8" t="str">
        <f t="shared" si="1"/>
        <v>MKT04</v>
      </c>
      <c r="H15" s="8" t="str">
        <f>VLOOKUP(G:G,Lookup_Departments!A:B,2,0)</f>
        <v>Marketing</v>
      </c>
      <c r="I15" s="12">
        <v>44001</v>
      </c>
      <c r="J15" s="6">
        <f t="shared" ca="1" si="2"/>
        <v>6</v>
      </c>
      <c r="K15" s="15">
        <v>99990</v>
      </c>
      <c r="M15" s="6">
        <v>54</v>
      </c>
      <c r="O15" s="4" t="str">
        <f t="shared" si="3"/>
        <v>Developing</v>
      </c>
      <c r="P15" s="24" t="str">
        <f t="shared" si="4"/>
        <v>0.02</v>
      </c>
      <c r="Q15" s="28">
        <f t="shared" si="5"/>
        <v>1999.8</v>
      </c>
      <c r="R15" s="4" t="s">
        <v>45</v>
      </c>
      <c r="S15" t="str">
        <f t="shared" si="0"/>
        <v>Active</v>
      </c>
    </row>
    <row r="16" spans="2:23" x14ac:dyDescent="0.35">
      <c r="B16" s="4" t="s">
        <v>58</v>
      </c>
      <c r="C16" s="4" t="s">
        <v>59</v>
      </c>
      <c r="D16" s="4" t="s">
        <v>60</v>
      </c>
      <c r="E16" s="4" t="s">
        <v>319</v>
      </c>
      <c r="F16" s="4" t="s">
        <v>61</v>
      </c>
      <c r="G16" s="8" t="str">
        <f t="shared" si="1"/>
        <v>MKT04</v>
      </c>
      <c r="H16" s="8" t="str">
        <f>VLOOKUP(G:G,Lookup_Departments!A:B,2,0)</f>
        <v>Marketing</v>
      </c>
      <c r="I16" s="12">
        <v>43820</v>
      </c>
      <c r="J16" s="6">
        <f t="shared" ca="1" si="2"/>
        <v>6</v>
      </c>
      <c r="K16" s="15">
        <v>80385</v>
      </c>
      <c r="M16" s="6">
        <v>68.077464788732385</v>
      </c>
      <c r="O16" s="4" t="str">
        <f t="shared" si="3"/>
        <v>Developing</v>
      </c>
      <c r="P16" s="24" t="str">
        <f t="shared" si="4"/>
        <v>0.02</v>
      </c>
      <c r="Q16" s="28">
        <f t="shared" si="5"/>
        <v>1607.7</v>
      </c>
      <c r="R16" s="4" t="s">
        <v>12</v>
      </c>
      <c r="S16" t="str">
        <f t="shared" si="0"/>
        <v>Active</v>
      </c>
    </row>
    <row r="17" spans="2:28" x14ac:dyDescent="0.35">
      <c r="B17" s="4" t="s">
        <v>62</v>
      </c>
      <c r="C17" s="4" t="s">
        <v>28</v>
      </c>
      <c r="D17" s="4" t="s">
        <v>41</v>
      </c>
      <c r="E17" s="4" t="s">
        <v>320</v>
      </c>
      <c r="F17" s="4" t="s">
        <v>44</v>
      </c>
      <c r="G17" s="8" t="str">
        <f t="shared" si="1"/>
        <v>SAL05</v>
      </c>
      <c r="H17" s="8" t="str">
        <f>VLOOKUP(G:G,Lookup_Departments!A:B,2,0)</f>
        <v>Sales</v>
      </c>
      <c r="I17" s="12">
        <v>45169</v>
      </c>
      <c r="J17" s="6">
        <f t="shared" ca="1" si="2"/>
        <v>2</v>
      </c>
      <c r="K17" s="15">
        <v>65290</v>
      </c>
      <c r="M17" s="6">
        <v>68.077464788732385</v>
      </c>
      <c r="O17" s="4" t="str">
        <f t="shared" si="3"/>
        <v>Developing</v>
      </c>
      <c r="P17" s="24" t="str">
        <f t="shared" si="4"/>
        <v>0.02</v>
      </c>
      <c r="Q17" s="28">
        <f t="shared" si="5"/>
        <v>1305.8</v>
      </c>
      <c r="R17" s="4" t="s">
        <v>12</v>
      </c>
      <c r="S17" t="str">
        <f t="shared" si="0"/>
        <v>Active</v>
      </c>
    </row>
    <row r="18" spans="2:28" x14ac:dyDescent="0.35">
      <c r="B18" s="4" t="s">
        <v>63</v>
      </c>
      <c r="C18" s="4" t="s">
        <v>9</v>
      </c>
      <c r="D18" s="4" t="s">
        <v>64</v>
      </c>
      <c r="E18" s="4" t="s">
        <v>321</v>
      </c>
      <c r="F18" s="4" t="s">
        <v>11</v>
      </c>
      <c r="G18" s="8" t="str">
        <f t="shared" si="1"/>
        <v>IT02</v>
      </c>
      <c r="H18" s="8" t="str">
        <f>VLOOKUP(G:G,Lookup_Departments!A:B,2,0)</f>
        <v>Information Technology</v>
      </c>
      <c r="I18" s="12">
        <v>42337</v>
      </c>
      <c r="J18" s="6">
        <f t="shared" ca="1" si="2"/>
        <v>10</v>
      </c>
      <c r="K18" s="15">
        <v>105765</v>
      </c>
      <c r="M18" s="6">
        <v>68.077464788732385</v>
      </c>
      <c r="O18" s="4" t="str">
        <f t="shared" si="3"/>
        <v>Developing</v>
      </c>
      <c r="P18" s="24" t="str">
        <f t="shared" si="4"/>
        <v>0.02</v>
      </c>
      <c r="Q18" s="28">
        <f t="shared" si="5"/>
        <v>2115.3000000000002</v>
      </c>
      <c r="R18" s="4" t="s">
        <v>45</v>
      </c>
      <c r="S18" t="str">
        <f t="shared" si="0"/>
        <v>Active</v>
      </c>
    </row>
    <row r="19" spans="2:28" x14ac:dyDescent="0.35">
      <c r="B19" s="4" t="s">
        <v>65</v>
      </c>
      <c r="C19" s="4" t="s">
        <v>66</v>
      </c>
      <c r="D19" s="4" t="s">
        <v>25</v>
      </c>
      <c r="E19" s="4" t="s">
        <v>322</v>
      </c>
      <c r="F19" s="4" t="s">
        <v>44</v>
      </c>
      <c r="G19" s="8" t="str">
        <f t="shared" si="1"/>
        <v>SAL05</v>
      </c>
      <c r="H19" s="8" t="str">
        <f>VLOOKUP(G:G,Lookup_Departments!A:B,2,0)</f>
        <v>Sales</v>
      </c>
      <c r="I19" s="12">
        <v>42899</v>
      </c>
      <c r="J19" s="6">
        <f t="shared" ca="1" si="2"/>
        <v>9</v>
      </c>
      <c r="K19" s="15">
        <v>102921</v>
      </c>
      <c r="M19" s="6">
        <v>68.077464788732385</v>
      </c>
      <c r="O19" s="4" t="str">
        <f t="shared" si="3"/>
        <v>Developing</v>
      </c>
      <c r="P19" s="24" t="str">
        <f t="shared" si="4"/>
        <v>0.02</v>
      </c>
      <c r="Q19" s="28">
        <f t="shared" si="5"/>
        <v>2058.42</v>
      </c>
      <c r="R19" s="4" t="s">
        <v>17</v>
      </c>
      <c r="S19" t="str">
        <f t="shared" si="0"/>
        <v>Active</v>
      </c>
    </row>
    <row r="20" spans="2:28" x14ac:dyDescent="0.35">
      <c r="B20" s="4" t="s">
        <v>67</v>
      </c>
      <c r="C20" s="4" t="s">
        <v>68</v>
      </c>
      <c r="D20" s="4" t="s">
        <v>69</v>
      </c>
      <c r="E20" s="4" t="s">
        <v>323</v>
      </c>
      <c r="F20" s="4" t="s">
        <v>16</v>
      </c>
      <c r="G20" s="8" t="str">
        <f t="shared" si="1"/>
        <v>MKT04</v>
      </c>
      <c r="H20" s="8" t="str">
        <f>VLOOKUP(G:G,Lookup_Departments!A:B,2,0)</f>
        <v>Marketing</v>
      </c>
      <c r="I20" s="12">
        <v>43235</v>
      </c>
      <c r="J20" s="6">
        <f t="shared" ca="1" si="2"/>
        <v>8</v>
      </c>
      <c r="K20" s="15">
        <v>73984</v>
      </c>
      <c r="M20" s="6">
        <v>68.077464788732385</v>
      </c>
      <c r="O20" s="4" t="str">
        <f t="shared" si="3"/>
        <v>Developing</v>
      </c>
      <c r="P20" s="24" t="str">
        <f t="shared" si="4"/>
        <v>0.02</v>
      </c>
      <c r="Q20" s="28">
        <f t="shared" si="5"/>
        <v>1479.68</v>
      </c>
      <c r="R20" s="4" t="s">
        <v>45</v>
      </c>
      <c r="S20" t="str">
        <f t="shared" si="0"/>
        <v>Active</v>
      </c>
    </row>
    <row r="21" spans="2:28" x14ac:dyDescent="0.35">
      <c r="B21" s="4" t="s">
        <v>70</v>
      </c>
      <c r="C21" s="4" t="s">
        <v>71</v>
      </c>
      <c r="D21" s="4" t="s">
        <v>19</v>
      </c>
      <c r="E21" s="4" t="s">
        <v>324</v>
      </c>
      <c r="F21" s="4" t="s">
        <v>11</v>
      </c>
      <c r="G21" s="8" t="str">
        <f t="shared" si="1"/>
        <v>IT02</v>
      </c>
      <c r="H21" s="8" t="str">
        <f>VLOOKUP(G:G,Lookup_Departments!A:B,2,0)</f>
        <v>Information Technology</v>
      </c>
      <c r="I21" s="12">
        <v>42575</v>
      </c>
      <c r="J21" s="6">
        <f t="shared" ca="1" si="2"/>
        <v>9</v>
      </c>
      <c r="K21" s="15">
        <v>83603.930769230763</v>
      </c>
      <c r="M21" s="6">
        <v>68.077464788732385</v>
      </c>
      <c r="O21" s="4" t="str">
        <f t="shared" si="3"/>
        <v>Developing</v>
      </c>
      <c r="P21" s="24" t="str">
        <f t="shared" si="4"/>
        <v>0.02</v>
      </c>
      <c r="Q21" s="28">
        <f t="shared" si="5"/>
        <v>1672.0786153846152</v>
      </c>
      <c r="R21" s="4" t="s">
        <v>45</v>
      </c>
      <c r="S21" t="str">
        <f t="shared" si="0"/>
        <v>Active</v>
      </c>
    </row>
    <row r="22" spans="2:28" x14ac:dyDescent="0.35">
      <c r="B22" s="4" t="s">
        <v>72</v>
      </c>
      <c r="C22" s="4" t="s">
        <v>43</v>
      </c>
      <c r="D22" s="4" t="s">
        <v>15</v>
      </c>
      <c r="E22" s="4" t="s">
        <v>325</v>
      </c>
      <c r="F22" s="4" t="s">
        <v>26</v>
      </c>
      <c r="G22" s="8" t="str">
        <f t="shared" si="1"/>
        <v>FIN03</v>
      </c>
      <c r="H22" s="8" t="str">
        <f>VLOOKUP(G:G,Lookup_Departments!A:B,2,0)</f>
        <v>Finance</v>
      </c>
      <c r="I22" s="12">
        <v>43076</v>
      </c>
      <c r="J22" s="6">
        <f t="shared" ca="1" si="2"/>
        <v>8</v>
      </c>
      <c r="K22" s="15">
        <v>118527</v>
      </c>
      <c r="M22" s="6">
        <v>68.077464788732385</v>
      </c>
      <c r="O22" s="4" t="str">
        <f t="shared" si="3"/>
        <v>Developing</v>
      </c>
      <c r="P22" s="24" t="str">
        <f t="shared" si="4"/>
        <v>0.02</v>
      </c>
      <c r="Q22" s="28">
        <f t="shared" si="5"/>
        <v>2370.54</v>
      </c>
      <c r="R22" s="4" t="s">
        <v>45</v>
      </c>
      <c r="S22" t="str">
        <f t="shared" si="0"/>
        <v>Active</v>
      </c>
    </row>
    <row r="23" spans="2:28" x14ac:dyDescent="0.35">
      <c r="B23" s="4" t="s">
        <v>73</v>
      </c>
      <c r="C23" s="4" t="s">
        <v>14</v>
      </c>
      <c r="D23" s="4" t="s">
        <v>15</v>
      </c>
      <c r="E23" s="4" t="s">
        <v>306</v>
      </c>
      <c r="F23" s="4" t="s">
        <v>16</v>
      </c>
      <c r="G23" s="8" t="str">
        <f t="shared" si="1"/>
        <v>MKT04</v>
      </c>
      <c r="H23" s="8" t="str">
        <f>VLOOKUP(G:G,Lookup_Departments!A:B,2,0)</f>
        <v>Marketing</v>
      </c>
      <c r="I23" s="12">
        <v>44353</v>
      </c>
      <c r="J23" s="6">
        <f t="shared" ca="1" si="2"/>
        <v>5</v>
      </c>
      <c r="K23" s="15">
        <v>107871</v>
      </c>
      <c r="M23" s="6">
        <v>68.077464788732385</v>
      </c>
      <c r="O23" s="4" t="str">
        <f t="shared" si="3"/>
        <v>Developing</v>
      </c>
      <c r="P23" s="24" t="str">
        <f t="shared" si="4"/>
        <v>0.02</v>
      </c>
      <c r="Q23" s="28">
        <f t="shared" si="5"/>
        <v>2157.42</v>
      </c>
      <c r="R23" s="4" t="s">
        <v>12</v>
      </c>
      <c r="S23" t="str">
        <f t="shared" si="0"/>
        <v>Active</v>
      </c>
    </row>
    <row r="24" spans="2:28" x14ac:dyDescent="0.35">
      <c r="B24" s="4" t="s">
        <v>74</v>
      </c>
      <c r="C24" s="4" t="s">
        <v>43</v>
      </c>
      <c r="D24" s="4" t="s">
        <v>41</v>
      </c>
      <c r="E24" s="4" t="s">
        <v>326</v>
      </c>
      <c r="F24" s="4" t="s">
        <v>20</v>
      </c>
      <c r="G24" s="8" t="str">
        <f t="shared" si="1"/>
        <v>IT02</v>
      </c>
      <c r="H24" s="8" t="str">
        <f>VLOOKUP(G:G,Lookup_Departments!A:B,2,0)</f>
        <v>Information Technology</v>
      </c>
      <c r="I24" s="12">
        <v>44815</v>
      </c>
      <c r="J24" s="6">
        <f t="shared" ca="1" si="2"/>
        <v>3</v>
      </c>
      <c r="K24" s="15">
        <v>93956</v>
      </c>
      <c r="M24" s="6">
        <v>68.077464788732385</v>
      </c>
      <c r="O24" s="4" t="str">
        <f t="shared" si="3"/>
        <v>Developing</v>
      </c>
      <c r="P24" s="24" t="str">
        <f t="shared" si="4"/>
        <v>0.02</v>
      </c>
      <c r="Q24" s="28">
        <f t="shared" si="5"/>
        <v>1879.1200000000001</v>
      </c>
      <c r="R24" s="4" t="s">
        <v>22</v>
      </c>
      <c r="S24" t="str">
        <f t="shared" si="0"/>
        <v>Left</v>
      </c>
    </row>
    <row r="25" spans="2:28" x14ac:dyDescent="0.35">
      <c r="B25" s="4" t="s">
        <v>75</v>
      </c>
      <c r="C25" s="4" t="s">
        <v>39</v>
      </c>
      <c r="D25" s="4" t="s">
        <v>32</v>
      </c>
      <c r="E25" s="4" t="s">
        <v>327</v>
      </c>
      <c r="F25" s="4" t="s">
        <v>76</v>
      </c>
      <c r="G25" s="8" t="str">
        <f t="shared" si="1"/>
        <v>FIN03</v>
      </c>
      <c r="H25" s="8" t="str">
        <f>VLOOKUP(G:G,Lookup_Departments!A:B,2,0)</f>
        <v>Finance</v>
      </c>
      <c r="I25" s="12">
        <v>42565</v>
      </c>
      <c r="J25" s="6">
        <f t="shared" ca="1" si="2"/>
        <v>9</v>
      </c>
      <c r="K25" s="15">
        <v>100851</v>
      </c>
      <c r="M25" s="6">
        <v>68.077464788732385</v>
      </c>
      <c r="O25" s="4" t="str">
        <f t="shared" si="3"/>
        <v>Developing</v>
      </c>
      <c r="P25" s="24" t="str">
        <f t="shared" si="4"/>
        <v>0.02</v>
      </c>
      <c r="Q25" s="28">
        <f t="shared" si="5"/>
        <v>2017.02</v>
      </c>
      <c r="R25" s="4" t="s">
        <v>17</v>
      </c>
      <c r="S25" t="str">
        <f t="shared" si="0"/>
        <v>Active</v>
      </c>
    </row>
    <row r="26" spans="2:28" x14ac:dyDescent="0.35">
      <c r="B26" s="4" t="s">
        <v>77</v>
      </c>
      <c r="C26" s="4" t="s">
        <v>68</v>
      </c>
      <c r="D26" s="4" t="s">
        <v>54</v>
      </c>
      <c r="E26" s="4" t="s">
        <v>328</v>
      </c>
      <c r="F26" s="4" t="s">
        <v>44</v>
      </c>
      <c r="G26" s="8" t="str">
        <f t="shared" si="1"/>
        <v>SAL05</v>
      </c>
      <c r="H26" s="8" t="str">
        <f>VLOOKUP(G:G,Lookup_Departments!A:B,2,0)</f>
        <v>Sales</v>
      </c>
      <c r="I26" s="12">
        <v>44728</v>
      </c>
      <c r="J26" s="6">
        <f t="shared" ca="1" si="2"/>
        <v>4</v>
      </c>
      <c r="K26" s="15">
        <v>68655</v>
      </c>
      <c r="M26" s="6">
        <v>68.077464788732385</v>
      </c>
      <c r="O26" s="4" t="str">
        <f t="shared" si="3"/>
        <v>Developing</v>
      </c>
      <c r="P26" s="24" t="str">
        <f t="shared" si="4"/>
        <v>0.02</v>
      </c>
      <c r="Q26" s="28">
        <f t="shared" si="5"/>
        <v>1373.1000000000001</v>
      </c>
      <c r="R26" s="4" t="s">
        <v>12</v>
      </c>
      <c r="S26" t="str">
        <f t="shared" si="0"/>
        <v>Active</v>
      </c>
    </row>
    <row r="27" spans="2:28" x14ac:dyDescent="0.35">
      <c r="B27" s="4" t="s">
        <v>78</v>
      </c>
      <c r="C27" s="4" t="s">
        <v>54</v>
      </c>
      <c r="D27" s="4" t="s">
        <v>54</v>
      </c>
      <c r="E27" s="4" t="s">
        <v>329</v>
      </c>
      <c r="F27" s="4" t="s">
        <v>79</v>
      </c>
      <c r="G27" s="8" t="str">
        <f t="shared" si="1"/>
        <v>SAL05</v>
      </c>
      <c r="H27" s="8" t="str">
        <f>VLOOKUP(G:G,Lookup_Departments!A:B,2,0)</f>
        <v>Sales</v>
      </c>
      <c r="I27" s="12">
        <v>45134</v>
      </c>
      <c r="J27" s="6">
        <f t="shared" ca="1" si="2"/>
        <v>2</v>
      </c>
      <c r="K27" s="15">
        <v>81205</v>
      </c>
      <c r="M27" s="6">
        <v>68.077464788732385</v>
      </c>
      <c r="O27" s="4" t="str">
        <f t="shared" si="3"/>
        <v>Developing</v>
      </c>
      <c r="P27" s="24" t="str">
        <f t="shared" si="4"/>
        <v>0.02</v>
      </c>
      <c r="Q27" s="28">
        <f t="shared" si="5"/>
        <v>1624.1000000000001</v>
      </c>
      <c r="R27" s="4" t="s">
        <v>45</v>
      </c>
      <c r="S27" t="str">
        <f t="shared" si="0"/>
        <v>Active</v>
      </c>
      <c r="Y27" s="1" t="s">
        <v>295</v>
      </c>
      <c r="Z27" s="1" t="s">
        <v>296</v>
      </c>
      <c r="AA27" s="1" t="s">
        <v>297</v>
      </c>
      <c r="AB27" s="23" t="s">
        <v>298</v>
      </c>
    </row>
    <row r="28" spans="2:28" x14ac:dyDescent="0.35">
      <c r="B28" s="4" t="s">
        <v>80</v>
      </c>
      <c r="C28" s="4" t="s">
        <v>24</v>
      </c>
      <c r="D28" s="4" t="s">
        <v>36</v>
      </c>
      <c r="E28" s="4" t="s">
        <v>311</v>
      </c>
      <c r="F28" s="4" t="s">
        <v>44</v>
      </c>
      <c r="G28" s="8" t="str">
        <f t="shared" si="1"/>
        <v>SAL05</v>
      </c>
      <c r="H28" s="8" t="str">
        <f>VLOOKUP(G:G,Lookup_Departments!A:B,2,0)</f>
        <v>Sales</v>
      </c>
      <c r="I28" s="12">
        <v>43732</v>
      </c>
      <c r="J28" s="6">
        <f t="shared" ca="1" si="2"/>
        <v>6</v>
      </c>
      <c r="K28" s="15">
        <v>77610</v>
      </c>
      <c r="M28" s="6">
        <v>68.077464788732385</v>
      </c>
      <c r="O28" s="4" t="str">
        <f t="shared" si="3"/>
        <v>Developing</v>
      </c>
      <c r="P28" s="24" t="str">
        <f t="shared" si="4"/>
        <v>0.02</v>
      </c>
      <c r="Q28" s="28">
        <f t="shared" si="5"/>
        <v>1552.2</v>
      </c>
      <c r="R28" s="4" t="s">
        <v>45</v>
      </c>
      <c r="S28" t="str">
        <f t="shared" si="0"/>
        <v>Active</v>
      </c>
      <c r="Y28">
        <v>0</v>
      </c>
      <c r="Z28">
        <v>49</v>
      </c>
      <c r="AA28" t="s">
        <v>299</v>
      </c>
      <c r="AB28">
        <v>0</v>
      </c>
    </row>
    <row r="29" spans="2:28" x14ac:dyDescent="0.35">
      <c r="B29" s="4" t="s">
        <v>83</v>
      </c>
      <c r="C29" s="4" t="s">
        <v>28</v>
      </c>
      <c r="D29" s="4" t="s">
        <v>41</v>
      </c>
      <c r="E29" s="4" t="s">
        <v>320</v>
      </c>
      <c r="F29" s="4" t="s">
        <v>84</v>
      </c>
      <c r="G29" s="8" t="str">
        <f t="shared" si="1"/>
        <v>IT02</v>
      </c>
      <c r="H29" s="8" t="str">
        <f>VLOOKUP(G:G,Lookup_Departments!A:B,2,0)</f>
        <v>Information Technology</v>
      </c>
      <c r="I29" s="12">
        <v>44765</v>
      </c>
      <c r="J29" s="6">
        <f t="shared" ca="1" si="2"/>
        <v>3</v>
      </c>
      <c r="K29" s="15">
        <v>50873</v>
      </c>
      <c r="M29" s="6">
        <v>68.077464788732385</v>
      </c>
      <c r="O29" s="4" t="str">
        <f t="shared" si="3"/>
        <v>Developing</v>
      </c>
      <c r="P29" s="24" t="str">
        <f t="shared" si="4"/>
        <v>0.02</v>
      </c>
      <c r="Q29" s="28">
        <f t="shared" si="5"/>
        <v>1017.46</v>
      </c>
      <c r="R29" s="4" t="s">
        <v>45</v>
      </c>
      <c r="S29" t="str">
        <f t="shared" si="0"/>
        <v>Active</v>
      </c>
      <c r="Y29">
        <v>50</v>
      </c>
      <c r="Z29">
        <v>69</v>
      </c>
      <c r="AA29" t="s">
        <v>300</v>
      </c>
      <c r="AB29">
        <v>0.02</v>
      </c>
    </row>
    <row r="30" spans="2:28" x14ac:dyDescent="0.35">
      <c r="B30" s="4" t="s">
        <v>86</v>
      </c>
      <c r="C30" s="4" t="s">
        <v>43</v>
      </c>
      <c r="D30" s="4" t="s">
        <v>36</v>
      </c>
      <c r="E30" s="4" t="s">
        <v>330</v>
      </c>
      <c r="F30" s="4" t="s">
        <v>87</v>
      </c>
      <c r="G30" s="8" t="str">
        <f t="shared" si="1"/>
        <v>FIN03</v>
      </c>
      <c r="H30" s="8" t="str">
        <f>VLOOKUP(G:G,Lookup_Departments!A:B,2,0)</f>
        <v>Finance</v>
      </c>
      <c r="I30" s="12">
        <v>43233</v>
      </c>
      <c r="J30" s="6">
        <f t="shared" ca="1" si="2"/>
        <v>8</v>
      </c>
      <c r="K30" s="15">
        <v>85312</v>
      </c>
      <c r="M30" s="6">
        <v>68.077464788732385</v>
      </c>
      <c r="O30" s="4" t="str">
        <f t="shared" si="3"/>
        <v>Developing</v>
      </c>
      <c r="P30" s="24" t="str">
        <f t="shared" si="4"/>
        <v>0.02</v>
      </c>
      <c r="Q30" s="28">
        <f t="shared" si="5"/>
        <v>1706.24</v>
      </c>
      <c r="R30" s="4" t="s">
        <v>12</v>
      </c>
      <c r="S30" t="str">
        <f t="shared" si="0"/>
        <v>Active</v>
      </c>
      <c r="Y30">
        <v>70</v>
      </c>
      <c r="Z30">
        <v>84</v>
      </c>
      <c r="AA30" t="s">
        <v>301</v>
      </c>
      <c r="AB30">
        <v>0.05</v>
      </c>
    </row>
    <row r="31" spans="2:28" x14ac:dyDescent="0.35">
      <c r="B31" s="4" t="s">
        <v>89</v>
      </c>
      <c r="C31" s="4" t="s">
        <v>24</v>
      </c>
      <c r="D31" s="4" t="s">
        <v>41</v>
      </c>
      <c r="E31" s="4" t="s">
        <v>331</v>
      </c>
      <c r="F31" s="4" t="s">
        <v>44</v>
      </c>
      <c r="G31" s="8" t="str">
        <f t="shared" si="1"/>
        <v>SAL05</v>
      </c>
      <c r="H31" s="8" t="str">
        <f>VLOOKUP(G:G,Lookup_Departments!A:B,2,0)</f>
        <v>Sales</v>
      </c>
      <c r="I31" s="12">
        <v>42202</v>
      </c>
      <c r="J31" s="6">
        <f t="shared" ca="1" si="2"/>
        <v>10</v>
      </c>
      <c r="K31" s="15">
        <v>83603.930769230763</v>
      </c>
      <c r="M31" s="6">
        <v>68.077464788732385</v>
      </c>
      <c r="O31" s="4" t="str">
        <f t="shared" si="3"/>
        <v>Developing</v>
      </c>
      <c r="P31" s="24" t="str">
        <f t="shared" si="4"/>
        <v>0.02</v>
      </c>
      <c r="Q31" s="28">
        <f t="shared" si="5"/>
        <v>1672.0786153846152</v>
      </c>
      <c r="R31" s="4" t="s">
        <v>12</v>
      </c>
      <c r="S31" t="str">
        <f t="shared" si="0"/>
        <v>Active</v>
      </c>
      <c r="Y31">
        <v>85</v>
      </c>
      <c r="Z31">
        <v>94</v>
      </c>
      <c r="AA31" t="s">
        <v>302</v>
      </c>
      <c r="AB31">
        <v>0.08</v>
      </c>
    </row>
    <row r="32" spans="2:28" x14ac:dyDescent="0.35">
      <c r="B32" s="4" t="s">
        <v>90</v>
      </c>
      <c r="C32" s="4" t="s">
        <v>28</v>
      </c>
      <c r="D32" s="4" t="s">
        <v>15</v>
      </c>
      <c r="E32" s="4" t="s">
        <v>332</v>
      </c>
      <c r="F32" s="4" t="s">
        <v>33</v>
      </c>
      <c r="G32" s="8" t="str">
        <f t="shared" si="1"/>
        <v>OPS06</v>
      </c>
      <c r="H32" s="8" t="str">
        <f>VLOOKUP(G:G,Lookup_Departments!A:B,2,0)</f>
        <v>Operations</v>
      </c>
      <c r="I32" s="12">
        <v>42221</v>
      </c>
      <c r="J32" s="6">
        <f t="shared" ca="1" si="2"/>
        <v>10</v>
      </c>
      <c r="K32" s="15">
        <v>97055</v>
      </c>
      <c r="M32" s="6">
        <v>68.077464788732385</v>
      </c>
      <c r="O32" s="4" t="str">
        <f t="shared" si="3"/>
        <v>Developing</v>
      </c>
      <c r="P32" s="24" t="str">
        <f t="shared" si="4"/>
        <v>0.02</v>
      </c>
      <c r="Q32" s="28">
        <f t="shared" si="5"/>
        <v>1941.1000000000001</v>
      </c>
      <c r="R32" s="4" t="s">
        <v>45</v>
      </c>
      <c r="S32" t="str">
        <f t="shared" si="0"/>
        <v>Active</v>
      </c>
      <c r="Y32">
        <v>95</v>
      </c>
      <c r="Z32">
        <v>100</v>
      </c>
      <c r="AA32" t="s">
        <v>303</v>
      </c>
      <c r="AB32">
        <v>0.12</v>
      </c>
    </row>
    <row r="33" spans="2:19" x14ac:dyDescent="0.35">
      <c r="B33" s="4" t="s">
        <v>92</v>
      </c>
      <c r="C33" s="4" t="s">
        <v>43</v>
      </c>
      <c r="D33" s="4" t="s">
        <v>32</v>
      </c>
      <c r="E33" s="4" t="s">
        <v>333</v>
      </c>
      <c r="F33" s="4" t="s">
        <v>11</v>
      </c>
      <c r="G33" s="8" t="str">
        <f t="shared" si="1"/>
        <v>IT02</v>
      </c>
      <c r="H33" s="8" t="str">
        <f>VLOOKUP(G:G,Lookup_Departments!A:B,2,0)</f>
        <v>Information Technology</v>
      </c>
      <c r="I33" s="12">
        <v>45195</v>
      </c>
      <c r="J33" s="6">
        <f t="shared" ca="1" si="2"/>
        <v>2</v>
      </c>
      <c r="K33" s="15">
        <v>66069</v>
      </c>
      <c r="M33" s="6">
        <v>68.077464788732385</v>
      </c>
      <c r="O33" s="4" t="str">
        <f t="shared" si="3"/>
        <v>Developing</v>
      </c>
      <c r="P33" s="24" t="str">
        <f t="shared" si="4"/>
        <v>0.02</v>
      </c>
      <c r="Q33" s="28">
        <f t="shared" si="5"/>
        <v>1321.38</v>
      </c>
      <c r="R33" s="4" t="s">
        <v>45</v>
      </c>
      <c r="S33" t="str">
        <f t="shared" si="0"/>
        <v>Active</v>
      </c>
    </row>
    <row r="34" spans="2:19" x14ac:dyDescent="0.35">
      <c r="B34" s="4" t="s">
        <v>93</v>
      </c>
      <c r="C34" s="4" t="s">
        <v>94</v>
      </c>
      <c r="D34" s="4" t="s">
        <v>10</v>
      </c>
      <c r="E34" s="4" t="s">
        <v>334</v>
      </c>
      <c r="F34" s="4" t="s">
        <v>84</v>
      </c>
      <c r="G34" s="8" t="str">
        <f t="shared" si="1"/>
        <v>IT02</v>
      </c>
      <c r="H34" s="8" t="str">
        <f>VLOOKUP(G:G,Lookup_Departments!A:B,2,0)</f>
        <v>Information Technology</v>
      </c>
      <c r="I34" s="12">
        <v>43626</v>
      </c>
      <c r="J34" s="6">
        <f t="shared" ca="1" si="2"/>
        <v>7</v>
      </c>
      <c r="K34" s="15">
        <v>90157</v>
      </c>
      <c r="M34" s="6">
        <v>68.077464788732385</v>
      </c>
      <c r="O34" s="4" t="str">
        <f t="shared" si="3"/>
        <v>Developing</v>
      </c>
      <c r="P34" s="24" t="str">
        <f t="shared" si="4"/>
        <v>0.02</v>
      </c>
      <c r="Q34" s="28">
        <f t="shared" si="5"/>
        <v>1803.14</v>
      </c>
      <c r="R34" s="4" t="s">
        <v>12</v>
      </c>
      <c r="S34" t="str">
        <f t="shared" ref="S34:S65" si="6">PROPER(TRIM(R:R))</f>
        <v>Active</v>
      </c>
    </row>
    <row r="35" spans="2:19" x14ac:dyDescent="0.35">
      <c r="B35" s="4" t="s">
        <v>96</v>
      </c>
      <c r="C35" s="4" t="s">
        <v>53</v>
      </c>
      <c r="D35" s="4" t="s">
        <v>25</v>
      </c>
      <c r="E35" s="4" t="s">
        <v>335</v>
      </c>
      <c r="F35" s="4" t="s">
        <v>97</v>
      </c>
      <c r="G35" s="8" t="str">
        <f t="shared" si="1"/>
        <v>HR01</v>
      </c>
      <c r="H35" s="8" t="str">
        <f>VLOOKUP(G:G,Lookup_Departments!A:B,2,0)</f>
        <v>Human Resources</v>
      </c>
      <c r="I35" s="12">
        <v>44578</v>
      </c>
      <c r="J35" s="6">
        <f t="shared" ca="1" si="2"/>
        <v>4</v>
      </c>
      <c r="K35" s="15">
        <v>59899</v>
      </c>
      <c r="M35" s="6">
        <v>68.077464788732385</v>
      </c>
      <c r="O35" s="4" t="str">
        <f t="shared" si="3"/>
        <v>Developing</v>
      </c>
      <c r="P35" s="24" t="str">
        <f t="shared" si="4"/>
        <v>0.02</v>
      </c>
      <c r="Q35" s="28">
        <f t="shared" si="5"/>
        <v>1197.98</v>
      </c>
      <c r="R35" s="4" t="s">
        <v>45</v>
      </c>
      <c r="S35" t="str">
        <f t="shared" si="6"/>
        <v>Active</v>
      </c>
    </row>
    <row r="36" spans="2:19" x14ac:dyDescent="0.35">
      <c r="B36" s="4" t="s">
        <v>98</v>
      </c>
      <c r="C36" s="4" t="s">
        <v>9</v>
      </c>
      <c r="D36" s="4" t="s">
        <v>60</v>
      </c>
      <c r="E36" s="4" t="s">
        <v>336</v>
      </c>
      <c r="F36" s="4" t="s">
        <v>76</v>
      </c>
      <c r="G36" s="8" t="str">
        <f t="shared" si="1"/>
        <v>FIN03</v>
      </c>
      <c r="H36" s="8" t="str">
        <f>VLOOKUP(G:G,Lookup_Departments!A:B,2,0)</f>
        <v>Finance</v>
      </c>
      <c r="I36" s="12">
        <v>42919</v>
      </c>
      <c r="J36" s="6">
        <f t="shared" ca="1" si="2"/>
        <v>9</v>
      </c>
      <c r="K36" s="15">
        <v>113389</v>
      </c>
      <c r="M36" s="6">
        <v>68.077464788732385</v>
      </c>
      <c r="O36" s="4" t="str">
        <f t="shared" si="3"/>
        <v>Developing</v>
      </c>
      <c r="P36" s="24" t="str">
        <f t="shared" si="4"/>
        <v>0.02</v>
      </c>
      <c r="Q36" s="28">
        <f t="shared" si="5"/>
        <v>2267.7800000000002</v>
      </c>
      <c r="R36" s="4" t="s">
        <v>17</v>
      </c>
      <c r="S36" t="str">
        <f t="shared" si="6"/>
        <v>Active</v>
      </c>
    </row>
    <row r="37" spans="2:19" x14ac:dyDescent="0.35">
      <c r="B37" s="4" t="s">
        <v>100</v>
      </c>
      <c r="C37" s="4" t="s">
        <v>10</v>
      </c>
      <c r="D37" s="4" t="s">
        <v>10</v>
      </c>
      <c r="E37" s="4" t="s">
        <v>337</v>
      </c>
      <c r="F37" s="4" t="s">
        <v>20</v>
      </c>
      <c r="G37" s="8" t="str">
        <f t="shared" si="1"/>
        <v>IT02</v>
      </c>
      <c r="H37" s="8" t="str">
        <f>VLOOKUP(G:G,Lookup_Departments!A:B,2,0)</f>
        <v>Information Technology</v>
      </c>
      <c r="I37" s="12">
        <v>42248</v>
      </c>
      <c r="J37" s="6">
        <f t="shared" ca="1" si="2"/>
        <v>10</v>
      </c>
      <c r="K37" s="15">
        <v>102691</v>
      </c>
      <c r="M37" s="6">
        <v>68.077464788732385</v>
      </c>
      <c r="O37" s="4" t="str">
        <f t="shared" si="3"/>
        <v>Developing</v>
      </c>
      <c r="P37" s="24" t="str">
        <f t="shared" si="4"/>
        <v>0.02</v>
      </c>
      <c r="Q37" s="28">
        <f t="shared" si="5"/>
        <v>2053.8200000000002</v>
      </c>
      <c r="R37" s="4" t="s">
        <v>45</v>
      </c>
      <c r="S37" t="str">
        <f t="shared" si="6"/>
        <v>Active</v>
      </c>
    </row>
    <row r="38" spans="2:19" x14ac:dyDescent="0.35">
      <c r="B38" s="4" t="s">
        <v>102</v>
      </c>
      <c r="C38" s="4" t="s">
        <v>24</v>
      </c>
      <c r="D38" s="4" t="s">
        <v>36</v>
      </c>
      <c r="E38" s="4" t="s">
        <v>311</v>
      </c>
      <c r="F38" s="4" t="s">
        <v>33</v>
      </c>
      <c r="G38" s="8" t="str">
        <f t="shared" si="1"/>
        <v>OPS06</v>
      </c>
      <c r="H38" s="8" t="str">
        <f>VLOOKUP(G:G,Lookup_Departments!A:B,2,0)</f>
        <v>Operations</v>
      </c>
      <c r="I38" s="12">
        <v>44776</v>
      </c>
      <c r="J38" s="6">
        <f t="shared" ca="1" si="2"/>
        <v>3</v>
      </c>
      <c r="K38" s="15">
        <v>111845</v>
      </c>
      <c r="M38" s="6">
        <v>68.077464788732385</v>
      </c>
      <c r="O38" s="4" t="str">
        <f t="shared" si="3"/>
        <v>Developing</v>
      </c>
      <c r="P38" s="24" t="str">
        <f t="shared" si="4"/>
        <v>0.02</v>
      </c>
      <c r="Q38" s="28">
        <f t="shared" si="5"/>
        <v>2236.9</v>
      </c>
      <c r="R38" s="4" t="s">
        <v>12</v>
      </c>
      <c r="S38" t="str">
        <f t="shared" si="6"/>
        <v>Active</v>
      </c>
    </row>
    <row r="39" spans="2:19" x14ac:dyDescent="0.35">
      <c r="B39" s="4" t="s">
        <v>104</v>
      </c>
      <c r="C39" s="4" t="s">
        <v>105</v>
      </c>
      <c r="D39" s="4" t="s">
        <v>10</v>
      </c>
      <c r="E39" s="4" t="s">
        <v>338</v>
      </c>
      <c r="F39" s="4" t="s">
        <v>79</v>
      </c>
      <c r="G39" s="8" t="str">
        <f t="shared" si="1"/>
        <v>SAL05</v>
      </c>
      <c r="H39" s="8" t="str">
        <f>VLOOKUP(G:G,Lookup_Departments!A:B,2,0)</f>
        <v>Sales</v>
      </c>
      <c r="I39" s="12">
        <v>44741</v>
      </c>
      <c r="J39" s="6">
        <f t="shared" ca="1" si="2"/>
        <v>4</v>
      </c>
      <c r="K39" s="15">
        <v>69219</v>
      </c>
      <c r="M39" s="6">
        <v>68.077464788732385</v>
      </c>
      <c r="O39" s="4" t="str">
        <f t="shared" si="3"/>
        <v>Developing</v>
      </c>
      <c r="P39" s="24" t="str">
        <f t="shared" si="4"/>
        <v>0.02</v>
      </c>
      <c r="Q39" s="28">
        <f t="shared" si="5"/>
        <v>1384.38</v>
      </c>
      <c r="R39" s="4" t="s">
        <v>45</v>
      </c>
      <c r="S39" t="str">
        <f t="shared" si="6"/>
        <v>Active</v>
      </c>
    </row>
    <row r="40" spans="2:19" x14ac:dyDescent="0.35">
      <c r="B40" s="4" t="s">
        <v>107</v>
      </c>
      <c r="C40" s="4" t="s">
        <v>43</v>
      </c>
      <c r="D40" s="4" t="s">
        <v>29</v>
      </c>
      <c r="E40" s="4" t="s">
        <v>339</v>
      </c>
      <c r="F40" s="4" t="s">
        <v>26</v>
      </c>
      <c r="G40" s="8" t="str">
        <f t="shared" si="1"/>
        <v>FIN03</v>
      </c>
      <c r="H40" s="8" t="str">
        <f>VLOOKUP(G:G,Lookup_Departments!A:B,2,0)</f>
        <v>Finance</v>
      </c>
      <c r="I40" s="12">
        <v>43949</v>
      </c>
      <c r="J40" s="6">
        <f t="shared" ca="1" si="2"/>
        <v>6</v>
      </c>
      <c r="K40" s="15">
        <v>83603.930769230763</v>
      </c>
      <c r="M40" s="6">
        <v>68.077464788732385</v>
      </c>
      <c r="O40" s="4" t="str">
        <f t="shared" si="3"/>
        <v>Developing</v>
      </c>
      <c r="P40" s="24" t="str">
        <f t="shared" si="4"/>
        <v>0.02</v>
      </c>
      <c r="Q40" s="28">
        <f t="shared" si="5"/>
        <v>1672.0786153846152</v>
      </c>
      <c r="R40" s="4" t="s">
        <v>108</v>
      </c>
      <c r="S40" t="str">
        <f t="shared" si="6"/>
        <v>Left</v>
      </c>
    </row>
    <row r="41" spans="2:19" x14ac:dyDescent="0.35">
      <c r="B41" s="4" t="s">
        <v>109</v>
      </c>
      <c r="C41" s="4" t="s">
        <v>94</v>
      </c>
      <c r="D41" s="4" t="s">
        <v>47</v>
      </c>
      <c r="E41" s="4" t="s">
        <v>340</v>
      </c>
      <c r="F41" s="4" t="s">
        <v>33</v>
      </c>
      <c r="G41" s="8" t="str">
        <f t="shared" si="1"/>
        <v>OPS06</v>
      </c>
      <c r="H41" s="8" t="str">
        <f>VLOOKUP(G:G,Lookup_Departments!A:B,2,0)</f>
        <v>Operations</v>
      </c>
      <c r="I41" s="12">
        <v>42987</v>
      </c>
      <c r="J41" s="6">
        <f t="shared" ca="1" si="2"/>
        <v>8</v>
      </c>
      <c r="K41" s="15">
        <v>57514</v>
      </c>
      <c r="M41" s="6">
        <v>68.077464788732385</v>
      </c>
      <c r="O41" s="4" t="str">
        <f t="shared" si="3"/>
        <v>Developing</v>
      </c>
      <c r="P41" s="24" t="str">
        <f t="shared" si="4"/>
        <v>0.02</v>
      </c>
      <c r="Q41" s="28">
        <f t="shared" si="5"/>
        <v>1150.28</v>
      </c>
      <c r="R41" s="4" t="s">
        <v>12</v>
      </c>
      <c r="S41" t="str">
        <f t="shared" si="6"/>
        <v>Active</v>
      </c>
    </row>
    <row r="42" spans="2:19" x14ac:dyDescent="0.35">
      <c r="B42" s="4" t="s">
        <v>111</v>
      </c>
      <c r="C42" s="4" t="s">
        <v>9</v>
      </c>
      <c r="D42" s="4" t="s">
        <v>36</v>
      </c>
      <c r="E42" s="4" t="s">
        <v>341</v>
      </c>
      <c r="F42" s="4" t="s">
        <v>44</v>
      </c>
      <c r="G42" s="8" t="str">
        <f t="shared" si="1"/>
        <v>SAL05</v>
      </c>
      <c r="H42" s="8" t="str">
        <f>VLOOKUP(G:G,Lookup_Departments!A:B,2,0)</f>
        <v>Sales</v>
      </c>
      <c r="I42" s="12">
        <v>43181</v>
      </c>
      <c r="J42" s="6">
        <f t="shared" ca="1" si="2"/>
        <v>8</v>
      </c>
      <c r="K42" s="15">
        <v>86245</v>
      </c>
      <c r="M42" s="6">
        <v>68.077464788732385</v>
      </c>
      <c r="O42" s="4" t="str">
        <f t="shared" si="3"/>
        <v>Developing</v>
      </c>
      <c r="P42" s="24" t="str">
        <f t="shared" si="4"/>
        <v>0.02</v>
      </c>
      <c r="Q42" s="28">
        <f t="shared" si="5"/>
        <v>1724.9</v>
      </c>
      <c r="R42" s="4" t="s">
        <v>22</v>
      </c>
      <c r="S42" t="str">
        <f t="shared" si="6"/>
        <v>Left</v>
      </c>
    </row>
    <row r="43" spans="2:19" x14ac:dyDescent="0.35">
      <c r="B43" s="4" t="s">
        <v>112</v>
      </c>
      <c r="C43" s="4" t="s">
        <v>113</v>
      </c>
      <c r="D43" s="4" t="s">
        <v>15</v>
      </c>
      <c r="E43" s="4" t="s">
        <v>342</v>
      </c>
      <c r="F43" s="4" t="s">
        <v>44</v>
      </c>
      <c r="G43" s="8" t="str">
        <f t="shared" si="1"/>
        <v>SAL05</v>
      </c>
      <c r="H43" s="8" t="str">
        <f>VLOOKUP(G:G,Lookup_Departments!A:B,2,0)</f>
        <v>Sales</v>
      </c>
      <c r="I43" s="12">
        <v>43958</v>
      </c>
      <c r="J43" s="6">
        <f t="shared" ca="1" si="2"/>
        <v>6</v>
      </c>
      <c r="K43" s="15">
        <v>52407</v>
      </c>
      <c r="M43" s="6">
        <v>68.077464788732385</v>
      </c>
      <c r="O43" s="4" t="str">
        <f t="shared" si="3"/>
        <v>Developing</v>
      </c>
      <c r="P43" s="24" t="str">
        <f t="shared" si="4"/>
        <v>0.02</v>
      </c>
      <c r="Q43" s="28">
        <f t="shared" si="5"/>
        <v>1048.1400000000001</v>
      </c>
      <c r="R43" s="4" t="s">
        <v>12</v>
      </c>
      <c r="S43" t="str">
        <f t="shared" si="6"/>
        <v>Active</v>
      </c>
    </row>
    <row r="44" spans="2:19" x14ac:dyDescent="0.35">
      <c r="B44" s="4" t="s">
        <v>114</v>
      </c>
      <c r="C44" s="4" t="s">
        <v>66</v>
      </c>
      <c r="D44" s="4" t="s">
        <v>29</v>
      </c>
      <c r="E44" s="4" t="s">
        <v>343</v>
      </c>
      <c r="F44" s="4" t="s">
        <v>37</v>
      </c>
      <c r="G44" s="8" t="str">
        <f t="shared" si="1"/>
        <v>OPS06</v>
      </c>
      <c r="H44" s="8" t="str">
        <f>VLOOKUP(G:G,Lookup_Departments!A:B,2,0)</f>
        <v>Operations</v>
      </c>
      <c r="I44" s="12">
        <v>43549</v>
      </c>
      <c r="J44" s="6">
        <f t="shared" ca="1" si="2"/>
        <v>7</v>
      </c>
      <c r="K44" s="15">
        <v>66606</v>
      </c>
      <c r="M44" s="6">
        <v>68.077464788732385</v>
      </c>
      <c r="O44" s="4" t="str">
        <f t="shared" si="3"/>
        <v>Developing</v>
      </c>
      <c r="P44" s="24" t="str">
        <f t="shared" si="4"/>
        <v>0.02</v>
      </c>
      <c r="Q44" s="28">
        <f t="shared" si="5"/>
        <v>1332.1200000000001</v>
      </c>
      <c r="R44" s="4" t="s">
        <v>116</v>
      </c>
      <c r="S44" t="str">
        <f t="shared" si="6"/>
        <v>Resigned</v>
      </c>
    </row>
    <row r="45" spans="2:19" x14ac:dyDescent="0.35">
      <c r="B45" s="4" t="s">
        <v>117</v>
      </c>
      <c r="C45" s="4" t="s">
        <v>94</v>
      </c>
      <c r="D45" s="4" t="s">
        <v>54</v>
      </c>
      <c r="E45" s="4" t="s">
        <v>344</v>
      </c>
      <c r="F45" s="4" t="s">
        <v>11</v>
      </c>
      <c r="G45" s="8" t="str">
        <f t="shared" si="1"/>
        <v>IT02</v>
      </c>
      <c r="H45" s="8" t="str">
        <f>VLOOKUP(G:G,Lookup_Departments!A:B,2,0)</f>
        <v>Information Technology</v>
      </c>
      <c r="I45" s="12">
        <v>43686</v>
      </c>
      <c r="J45" s="6">
        <f t="shared" ca="1" si="2"/>
        <v>6</v>
      </c>
      <c r="K45" s="15">
        <v>81896</v>
      </c>
      <c r="M45" s="6">
        <v>68.077464788732385</v>
      </c>
      <c r="O45" s="4" t="str">
        <f t="shared" si="3"/>
        <v>Developing</v>
      </c>
      <c r="P45" s="24" t="str">
        <f t="shared" si="4"/>
        <v>0.02</v>
      </c>
      <c r="Q45" s="28">
        <f t="shared" si="5"/>
        <v>1637.92</v>
      </c>
      <c r="R45" s="4" t="s">
        <v>116</v>
      </c>
      <c r="S45" t="str">
        <f t="shared" si="6"/>
        <v>Resigned</v>
      </c>
    </row>
    <row r="46" spans="2:19" x14ac:dyDescent="0.35">
      <c r="B46" s="4" t="s">
        <v>118</v>
      </c>
      <c r="C46" s="4" t="s">
        <v>71</v>
      </c>
      <c r="D46" s="4" t="s">
        <v>69</v>
      </c>
      <c r="E46" s="4" t="s">
        <v>345</v>
      </c>
      <c r="F46" s="4" t="s">
        <v>44</v>
      </c>
      <c r="G46" s="8" t="str">
        <f t="shared" si="1"/>
        <v>SAL05</v>
      </c>
      <c r="H46" s="8" t="str">
        <f>VLOOKUP(G:G,Lookup_Departments!A:B,2,0)</f>
        <v>Sales</v>
      </c>
      <c r="I46" s="12">
        <v>42565</v>
      </c>
      <c r="J46" s="6">
        <f t="shared" ca="1" si="2"/>
        <v>9</v>
      </c>
      <c r="K46" s="15">
        <v>78402</v>
      </c>
      <c r="M46" s="6">
        <v>68.077464788732385</v>
      </c>
      <c r="O46" s="4" t="str">
        <f t="shared" si="3"/>
        <v>Developing</v>
      </c>
      <c r="P46" s="24" t="str">
        <f t="shared" si="4"/>
        <v>0.02</v>
      </c>
      <c r="Q46" s="28">
        <f t="shared" si="5"/>
        <v>1568.04</v>
      </c>
      <c r="R46" s="4" t="s">
        <v>17</v>
      </c>
      <c r="S46" t="str">
        <f t="shared" si="6"/>
        <v>Active</v>
      </c>
    </row>
    <row r="47" spans="2:19" x14ac:dyDescent="0.35">
      <c r="B47" s="4" t="s">
        <v>120</v>
      </c>
      <c r="C47" s="4" t="s">
        <v>28</v>
      </c>
      <c r="D47" s="4" t="s">
        <v>69</v>
      </c>
      <c r="E47" s="4" t="s">
        <v>346</v>
      </c>
      <c r="F47" s="4" t="s">
        <v>37</v>
      </c>
      <c r="G47" s="8" t="str">
        <f t="shared" si="1"/>
        <v>OPS06</v>
      </c>
      <c r="H47" s="8" t="str">
        <f>VLOOKUP(G:G,Lookup_Departments!A:B,2,0)</f>
        <v>Operations</v>
      </c>
      <c r="I47" s="12">
        <v>42647</v>
      </c>
      <c r="J47" s="6">
        <f t="shared" ca="1" si="2"/>
        <v>9</v>
      </c>
      <c r="K47" s="15">
        <v>105498</v>
      </c>
      <c r="M47" s="6">
        <v>68.077464788732385</v>
      </c>
      <c r="O47" s="4" t="str">
        <f t="shared" si="3"/>
        <v>Developing</v>
      </c>
      <c r="P47" s="24" t="str">
        <f t="shared" si="4"/>
        <v>0.02</v>
      </c>
      <c r="Q47" s="28">
        <f t="shared" si="5"/>
        <v>2109.96</v>
      </c>
      <c r="R47" s="4" t="s">
        <v>12</v>
      </c>
      <c r="S47" t="str">
        <f t="shared" si="6"/>
        <v>Active</v>
      </c>
    </row>
    <row r="48" spans="2:19" x14ac:dyDescent="0.35">
      <c r="B48" s="4" t="s">
        <v>121</v>
      </c>
      <c r="C48" s="4" t="s">
        <v>105</v>
      </c>
      <c r="D48" s="4" t="s">
        <v>32</v>
      </c>
      <c r="E48" s="4" t="s">
        <v>347</v>
      </c>
      <c r="F48" s="4" t="s">
        <v>16</v>
      </c>
      <c r="G48" s="8" t="str">
        <f t="shared" si="1"/>
        <v>MKT04</v>
      </c>
      <c r="H48" s="8" t="str">
        <f>VLOOKUP(G:G,Lookup_Departments!A:B,2,0)</f>
        <v>Marketing</v>
      </c>
      <c r="I48" s="12">
        <v>43656</v>
      </c>
      <c r="J48" s="6">
        <f t="shared" ca="1" si="2"/>
        <v>6</v>
      </c>
      <c r="K48" s="15">
        <v>91749</v>
      </c>
      <c r="M48" s="6">
        <v>68.077464788732385</v>
      </c>
      <c r="O48" s="4" t="str">
        <f t="shared" si="3"/>
        <v>Developing</v>
      </c>
      <c r="P48" s="24" t="str">
        <f t="shared" si="4"/>
        <v>0.02</v>
      </c>
      <c r="Q48" s="28">
        <f t="shared" si="5"/>
        <v>1834.98</v>
      </c>
      <c r="R48" s="4" t="s">
        <v>108</v>
      </c>
      <c r="S48" t="str">
        <f t="shared" si="6"/>
        <v>Left</v>
      </c>
    </row>
    <row r="49" spans="2:19" x14ac:dyDescent="0.35">
      <c r="B49" s="4" t="s">
        <v>123</v>
      </c>
      <c r="C49" s="4" t="s">
        <v>71</v>
      </c>
      <c r="D49" s="4" t="s">
        <v>32</v>
      </c>
      <c r="E49" s="4" t="s">
        <v>348</v>
      </c>
      <c r="F49" s="4" t="s">
        <v>37</v>
      </c>
      <c r="G49" s="8" t="str">
        <f t="shared" si="1"/>
        <v>OPS06</v>
      </c>
      <c r="H49" s="8" t="str">
        <f>VLOOKUP(G:G,Lookup_Departments!A:B,2,0)</f>
        <v>Operations</v>
      </c>
      <c r="I49" s="12">
        <v>44437</v>
      </c>
      <c r="J49" s="6">
        <f t="shared" ca="1" si="2"/>
        <v>4</v>
      </c>
      <c r="K49" s="15">
        <v>99935</v>
      </c>
      <c r="M49" s="6">
        <v>68.077464788732385</v>
      </c>
      <c r="O49" s="4" t="str">
        <f t="shared" si="3"/>
        <v>Developing</v>
      </c>
      <c r="P49" s="24" t="str">
        <f t="shared" si="4"/>
        <v>0.02</v>
      </c>
      <c r="Q49" s="28">
        <f t="shared" si="5"/>
        <v>1998.7</v>
      </c>
      <c r="R49" s="4" t="s">
        <v>116</v>
      </c>
      <c r="S49" t="str">
        <f t="shared" si="6"/>
        <v>Resigned</v>
      </c>
    </row>
    <row r="50" spans="2:19" x14ac:dyDescent="0.35">
      <c r="B50" s="4" t="s">
        <v>124</v>
      </c>
      <c r="C50" s="4" t="s">
        <v>24</v>
      </c>
      <c r="D50" s="4" t="s">
        <v>64</v>
      </c>
      <c r="E50" s="4" t="s">
        <v>349</v>
      </c>
      <c r="F50" s="4" t="s">
        <v>20</v>
      </c>
      <c r="G50" s="8" t="str">
        <f t="shared" si="1"/>
        <v>IT02</v>
      </c>
      <c r="H50" s="8" t="str">
        <f>VLOOKUP(G:G,Lookup_Departments!A:B,2,0)</f>
        <v>Information Technology</v>
      </c>
      <c r="I50" s="12">
        <v>42761</v>
      </c>
      <c r="J50" s="6">
        <f t="shared" ca="1" si="2"/>
        <v>9</v>
      </c>
      <c r="K50" s="15">
        <v>83531</v>
      </c>
      <c r="M50" s="6">
        <v>68.077464788732385</v>
      </c>
      <c r="O50" s="4" t="str">
        <f t="shared" si="3"/>
        <v>Developing</v>
      </c>
      <c r="P50" s="24" t="str">
        <f t="shared" si="4"/>
        <v>0.02</v>
      </c>
      <c r="Q50" s="28">
        <f t="shared" si="5"/>
        <v>1670.6200000000001</v>
      </c>
      <c r="R50" s="4" t="s">
        <v>108</v>
      </c>
      <c r="S50" t="str">
        <f t="shared" si="6"/>
        <v>Left</v>
      </c>
    </row>
    <row r="51" spans="2:19" x14ac:dyDescent="0.35">
      <c r="B51" s="4" t="s">
        <v>125</v>
      </c>
      <c r="C51" s="4" t="s">
        <v>66</v>
      </c>
      <c r="D51" s="4" t="s">
        <v>32</v>
      </c>
      <c r="E51" s="4" t="s">
        <v>350</v>
      </c>
      <c r="F51" s="4" t="s">
        <v>55</v>
      </c>
      <c r="G51" s="8" t="str">
        <f t="shared" si="1"/>
        <v>MKT04</v>
      </c>
      <c r="H51" s="8" t="str">
        <f>VLOOKUP(G:G,Lookup_Departments!A:B,2,0)</f>
        <v>Marketing</v>
      </c>
      <c r="I51" s="12">
        <v>43981</v>
      </c>
      <c r="J51" s="6">
        <f t="shared" ca="1" si="2"/>
        <v>6</v>
      </c>
      <c r="K51" s="15">
        <v>75023</v>
      </c>
      <c r="M51" s="6">
        <v>68.077464788732385</v>
      </c>
      <c r="O51" s="4" t="str">
        <f t="shared" si="3"/>
        <v>Developing</v>
      </c>
      <c r="P51" s="24" t="str">
        <f t="shared" si="4"/>
        <v>0.02</v>
      </c>
      <c r="Q51" s="28">
        <f t="shared" si="5"/>
        <v>1500.46</v>
      </c>
      <c r="R51" s="4" t="s">
        <v>17</v>
      </c>
      <c r="S51" t="str">
        <f t="shared" si="6"/>
        <v>Active</v>
      </c>
    </row>
    <row r="52" spans="2:19" x14ac:dyDescent="0.35">
      <c r="B52" s="4" t="s">
        <v>127</v>
      </c>
      <c r="C52" s="4" t="s">
        <v>53</v>
      </c>
      <c r="D52" s="4" t="s">
        <v>64</v>
      </c>
      <c r="E52" s="4" t="s">
        <v>351</v>
      </c>
      <c r="F52" s="4" t="s">
        <v>97</v>
      </c>
      <c r="G52" s="8" t="str">
        <f t="shared" si="1"/>
        <v>HR01</v>
      </c>
      <c r="H52" s="8" t="str">
        <f>VLOOKUP(G:G,Lookup_Departments!A:B,2,0)</f>
        <v>Human Resources</v>
      </c>
      <c r="I52" s="12">
        <v>44612</v>
      </c>
      <c r="J52" s="6">
        <f t="shared" ca="1" si="2"/>
        <v>4</v>
      </c>
      <c r="K52" s="15">
        <v>93290</v>
      </c>
      <c r="M52" s="6">
        <v>68.077464788732385</v>
      </c>
      <c r="O52" s="4" t="str">
        <f t="shared" si="3"/>
        <v>Developing</v>
      </c>
      <c r="P52" s="24" t="str">
        <f t="shared" si="4"/>
        <v>0.02</v>
      </c>
      <c r="Q52" s="28">
        <f t="shared" si="5"/>
        <v>1865.8</v>
      </c>
      <c r="R52" s="4" t="s">
        <v>17</v>
      </c>
      <c r="S52" t="str">
        <f t="shared" si="6"/>
        <v>Active</v>
      </c>
    </row>
    <row r="53" spans="2:19" x14ac:dyDescent="0.35">
      <c r="B53" s="4" t="s">
        <v>128</v>
      </c>
      <c r="C53" s="4" t="s">
        <v>14</v>
      </c>
      <c r="D53" s="4" t="s">
        <v>64</v>
      </c>
      <c r="E53" s="4" t="s">
        <v>352</v>
      </c>
      <c r="F53" s="4" t="s">
        <v>33</v>
      </c>
      <c r="G53" s="8" t="str">
        <f t="shared" si="1"/>
        <v>OPS06</v>
      </c>
      <c r="H53" s="8" t="str">
        <f>VLOOKUP(G:G,Lookup_Departments!A:B,2,0)</f>
        <v>Operations</v>
      </c>
      <c r="I53" s="12">
        <v>42628</v>
      </c>
      <c r="J53" s="6">
        <f t="shared" ca="1" si="2"/>
        <v>9</v>
      </c>
      <c r="K53" s="15">
        <v>115527</v>
      </c>
      <c r="M53" s="6">
        <v>68.077464788732385</v>
      </c>
      <c r="O53" s="4" t="str">
        <f t="shared" si="3"/>
        <v>Developing</v>
      </c>
      <c r="P53" s="24" t="str">
        <f t="shared" si="4"/>
        <v>0.02</v>
      </c>
      <c r="Q53" s="28">
        <f t="shared" si="5"/>
        <v>2310.54</v>
      </c>
      <c r="R53" s="4" t="s">
        <v>116</v>
      </c>
      <c r="S53" t="str">
        <f t="shared" si="6"/>
        <v>Resigned</v>
      </c>
    </row>
    <row r="54" spans="2:19" x14ac:dyDescent="0.35">
      <c r="B54" s="4" t="s">
        <v>129</v>
      </c>
      <c r="C54" s="4" t="s">
        <v>28</v>
      </c>
      <c r="D54" s="4" t="s">
        <v>41</v>
      </c>
      <c r="E54" s="4" t="s">
        <v>320</v>
      </c>
      <c r="F54" s="4" t="s">
        <v>76</v>
      </c>
      <c r="G54" s="8" t="str">
        <f t="shared" si="1"/>
        <v>FIN03</v>
      </c>
      <c r="H54" s="8" t="str">
        <f>VLOOKUP(G:G,Lookup_Departments!A:B,2,0)</f>
        <v>Finance</v>
      </c>
      <c r="I54" s="12">
        <v>43745</v>
      </c>
      <c r="J54" s="6">
        <f t="shared" ca="1" si="2"/>
        <v>6</v>
      </c>
      <c r="K54" s="15">
        <v>55920</v>
      </c>
      <c r="M54" s="6">
        <v>68.077464788732385</v>
      </c>
      <c r="O54" s="4" t="str">
        <f t="shared" si="3"/>
        <v>Developing</v>
      </c>
      <c r="P54" s="24" t="str">
        <f t="shared" si="4"/>
        <v>0.02</v>
      </c>
      <c r="Q54" s="28">
        <f t="shared" si="5"/>
        <v>1118.4000000000001</v>
      </c>
      <c r="R54" s="4" t="s">
        <v>45</v>
      </c>
      <c r="S54" t="str">
        <f t="shared" si="6"/>
        <v>Active</v>
      </c>
    </row>
    <row r="55" spans="2:19" x14ac:dyDescent="0.35">
      <c r="B55" s="4" t="s">
        <v>131</v>
      </c>
      <c r="C55" s="4" t="s">
        <v>9</v>
      </c>
      <c r="D55" s="4" t="s">
        <v>32</v>
      </c>
      <c r="E55" s="4" t="s">
        <v>310</v>
      </c>
      <c r="F55" s="4" t="s">
        <v>44</v>
      </c>
      <c r="G55" s="8" t="str">
        <f t="shared" si="1"/>
        <v>SAL05</v>
      </c>
      <c r="H55" s="8" t="str">
        <f>VLOOKUP(G:G,Lookup_Departments!A:B,2,0)</f>
        <v>Sales</v>
      </c>
      <c r="I55" s="12">
        <v>43464</v>
      </c>
      <c r="J55" s="6">
        <f t="shared" ca="1" si="2"/>
        <v>7</v>
      </c>
      <c r="K55" s="15">
        <v>80189</v>
      </c>
      <c r="M55" s="6">
        <v>68.077464788732385</v>
      </c>
      <c r="O55" s="4" t="str">
        <f t="shared" si="3"/>
        <v>Developing</v>
      </c>
      <c r="P55" s="24" t="str">
        <f t="shared" si="4"/>
        <v>0.02</v>
      </c>
      <c r="Q55" s="28">
        <f t="shared" si="5"/>
        <v>1603.78</v>
      </c>
      <c r="R55" s="4" t="s">
        <v>45</v>
      </c>
      <c r="S55" t="str">
        <f t="shared" si="6"/>
        <v>Active</v>
      </c>
    </row>
    <row r="56" spans="2:19" x14ac:dyDescent="0.35">
      <c r="B56" s="4" t="s">
        <v>132</v>
      </c>
      <c r="C56" s="4" t="s">
        <v>9</v>
      </c>
      <c r="D56" s="4" t="s">
        <v>133</v>
      </c>
      <c r="E56" s="4" t="s">
        <v>353</v>
      </c>
      <c r="F56" s="4" t="s">
        <v>97</v>
      </c>
      <c r="G56" s="8" t="str">
        <f t="shared" si="1"/>
        <v>HR01</v>
      </c>
      <c r="H56" s="8" t="str">
        <f>VLOOKUP(G:G,Lookup_Departments!A:B,2,0)</f>
        <v>Human Resources</v>
      </c>
      <c r="I56" s="12">
        <v>44189</v>
      </c>
      <c r="J56" s="6">
        <f t="shared" ca="1" si="2"/>
        <v>5</v>
      </c>
      <c r="K56" s="15">
        <v>118947</v>
      </c>
      <c r="M56" s="6">
        <v>68.077464788732385</v>
      </c>
      <c r="O56" s="4" t="str">
        <f t="shared" si="3"/>
        <v>Developing</v>
      </c>
      <c r="P56" s="24" t="str">
        <f t="shared" si="4"/>
        <v>0.02</v>
      </c>
      <c r="Q56" s="28">
        <f t="shared" si="5"/>
        <v>2378.94</v>
      </c>
      <c r="R56" s="4" t="s">
        <v>12</v>
      </c>
      <c r="S56" t="str">
        <f t="shared" si="6"/>
        <v>Active</v>
      </c>
    </row>
    <row r="57" spans="2:19" x14ac:dyDescent="0.35">
      <c r="B57" s="4" t="s">
        <v>134</v>
      </c>
      <c r="C57" s="4" t="s">
        <v>53</v>
      </c>
      <c r="D57" s="4" t="s">
        <v>135</v>
      </c>
      <c r="E57" s="4" t="s">
        <v>354</v>
      </c>
      <c r="F57" s="4" t="s">
        <v>11</v>
      </c>
      <c r="G57" s="8" t="str">
        <f t="shared" si="1"/>
        <v>IT02</v>
      </c>
      <c r="H57" s="8" t="str">
        <f>VLOOKUP(G:G,Lookup_Departments!A:B,2,0)</f>
        <v>Information Technology</v>
      </c>
      <c r="I57" s="12">
        <v>45112</v>
      </c>
      <c r="J57" s="6">
        <f t="shared" ca="1" si="2"/>
        <v>3</v>
      </c>
      <c r="K57" s="15">
        <v>83603.930769230763</v>
      </c>
      <c r="M57" s="6">
        <v>68.077464788732385</v>
      </c>
      <c r="O57" s="4" t="str">
        <f t="shared" si="3"/>
        <v>Developing</v>
      </c>
      <c r="P57" s="24" t="str">
        <f t="shared" si="4"/>
        <v>0.02</v>
      </c>
      <c r="Q57" s="28">
        <f t="shared" si="5"/>
        <v>1672.0786153846152</v>
      </c>
      <c r="R57" s="4" t="s">
        <v>45</v>
      </c>
      <c r="S57" t="str">
        <f t="shared" si="6"/>
        <v>Active</v>
      </c>
    </row>
    <row r="58" spans="2:19" x14ac:dyDescent="0.35">
      <c r="B58" s="4" t="s">
        <v>136</v>
      </c>
      <c r="C58" s="4" t="s">
        <v>28</v>
      </c>
      <c r="D58" s="4" t="s">
        <v>133</v>
      </c>
      <c r="E58" s="4" t="s">
        <v>355</v>
      </c>
      <c r="F58" s="4" t="s">
        <v>37</v>
      </c>
      <c r="G58" s="8" t="str">
        <f t="shared" si="1"/>
        <v>OPS06</v>
      </c>
      <c r="H58" s="8" t="str">
        <f>VLOOKUP(G:G,Lookup_Departments!A:B,2,0)</f>
        <v>Operations</v>
      </c>
      <c r="I58" s="12">
        <v>44148</v>
      </c>
      <c r="J58" s="6">
        <f t="shared" ca="1" si="2"/>
        <v>5</v>
      </c>
      <c r="K58" s="15">
        <v>83603.930769230763</v>
      </c>
      <c r="M58" s="6">
        <v>68.077464788732385</v>
      </c>
      <c r="O58" s="4" t="str">
        <f t="shared" si="3"/>
        <v>Developing</v>
      </c>
      <c r="P58" s="24" t="str">
        <f t="shared" si="4"/>
        <v>0.02</v>
      </c>
      <c r="Q58" s="28">
        <f t="shared" si="5"/>
        <v>1672.0786153846152</v>
      </c>
      <c r="R58" s="4" t="s">
        <v>45</v>
      </c>
      <c r="S58" t="str">
        <f t="shared" si="6"/>
        <v>Active</v>
      </c>
    </row>
    <row r="59" spans="2:19" x14ac:dyDescent="0.35">
      <c r="B59" s="4" t="s">
        <v>137</v>
      </c>
      <c r="C59" s="4" t="s">
        <v>113</v>
      </c>
      <c r="D59" s="4" t="s">
        <v>25</v>
      </c>
      <c r="E59" s="4" t="s">
        <v>356</v>
      </c>
      <c r="F59" s="4" t="s">
        <v>138</v>
      </c>
      <c r="G59" s="8" t="str">
        <f t="shared" si="1"/>
        <v>HR01</v>
      </c>
      <c r="H59" s="8" t="str">
        <f>VLOOKUP(G:G,Lookup_Departments!A:B,2,0)</f>
        <v>Human Resources</v>
      </c>
      <c r="I59" s="12">
        <v>43138</v>
      </c>
      <c r="J59" s="6">
        <f t="shared" ca="1" si="2"/>
        <v>8</v>
      </c>
      <c r="K59" s="15">
        <v>91655</v>
      </c>
      <c r="M59" s="6">
        <v>68.077464788732385</v>
      </c>
      <c r="O59" s="4" t="str">
        <f t="shared" si="3"/>
        <v>Developing</v>
      </c>
      <c r="P59" s="24" t="str">
        <f t="shared" si="4"/>
        <v>0.02</v>
      </c>
      <c r="Q59" s="28">
        <f t="shared" si="5"/>
        <v>1833.1000000000001</v>
      </c>
      <c r="R59" s="4" t="s">
        <v>45</v>
      </c>
      <c r="S59" t="str">
        <f t="shared" si="6"/>
        <v>Active</v>
      </c>
    </row>
    <row r="60" spans="2:19" x14ac:dyDescent="0.35">
      <c r="B60" s="4" t="s">
        <v>140</v>
      </c>
      <c r="C60" s="4" t="s">
        <v>9</v>
      </c>
      <c r="D60" s="4" t="s">
        <v>10</v>
      </c>
      <c r="E60" s="4" t="s">
        <v>305</v>
      </c>
      <c r="F60" s="4" t="s">
        <v>11</v>
      </c>
      <c r="G60" s="8" t="str">
        <f t="shared" si="1"/>
        <v>IT02</v>
      </c>
      <c r="H60" s="8" t="str">
        <f>VLOOKUP(G:G,Lookup_Departments!A:B,2,0)</f>
        <v>Information Technology</v>
      </c>
      <c r="I60" s="12">
        <v>45255</v>
      </c>
      <c r="J60" s="6">
        <f t="shared" ca="1" si="2"/>
        <v>2</v>
      </c>
      <c r="K60" s="15">
        <v>49435</v>
      </c>
      <c r="M60" s="6">
        <v>68.077464788732385</v>
      </c>
      <c r="O60" s="4" t="str">
        <f t="shared" si="3"/>
        <v>Developing</v>
      </c>
      <c r="P60" s="24" t="str">
        <f t="shared" si="4"/>
        <v>0.02</v>
      </c>
      <c r="Q60" s="28">
        <f t="shared" si="5"/>
        <v>988.7</v>
      </c>
      <c r="R60" s="4" t="s">
        <v>108</v>
      </c>
      <c r="S60" t="str">
        <f t="shared" si="6"/>
        <v>Left</v>
      </c>
    </row>
    <row r="61" spans="2:19" x14ac:dyDescent="0.35">
      <c r="B61" s="4" t="s">
        <v>141</v>
      </c>
      <c r="C61" s="4" t="s">
        <v>9</v>
      </c>
      <c r="D61" s="4" t="s">
        <v>36</v>
      </c>
      <c r="E61" s="4" t="s">
        <v>341</v>
      </c>
      <c r="F61" s="4" t="s">
        <v>48</v>
      </c>
      <c r="G61" s="8" t="str">
        <f t="shared" si="1"/>
        <v>SAL05</v>
      </c>
      <c r="H61" s="8" t="str">
        <f>VLOOKUP(G:G,Lookup_Departments!A:B,2,0)</f>
        <v>Sales</v>
      </c>
      <c r="I61" s="12">
        <v>45217</v>
      </c>
      <c r="J61" s="6">
        <f t="shared" ca="1" si="2"/>
        <v>2</v>
      </c>
      <c r="K61" s="15">
        <v>110381</v>
      </c>
      <c r="M61" s="6">
        <v>68.077464788732385</v>
      </c>
      <c r="O61" s="4" t="str">
        <f t="shared" si="3"/>
        <v>Developing</v>
      </c>
      <c r="P61" s="24" t="str">
        <f t="shared" si="4"/>
        <v>0.02</v>
      </c>
      <c r="Q61" s="28">
        <f t="shared" si="5"/>
        <v>2207.62</v>
      </c>
      <c r="R61" s="4" t="s">
        <v>45</v>
      </c>
      <c r="S61" t="str">
        <f t="shared" si="6"/>
        <v>Active</v>
      </c>
    </row>
    <row r="62" spans="2:19" x14ac:dyDescent="0.35">
      <c r="B62" s="4" t="s">
        <v>142</v>
      </c>
      <c r="C62" s="4" t="s">
        <v>43</v>
      </c>
      <c r="D62" s="4" t="s">
        <v>135</v>
      </c>
      <c r="E62" s="4" t="s">
        <v>357</v>
      </c>
      <c r="F62" s="4" t="s">
        <v>97</v>
      </c>
      <c r="G62" s="8" t="str">
        <f t="shared" si="1"/>
        <v>HR01</v>
      </c>
      <c r="H62" s="8" t="str">
        <f>VLOOKUP(G:G,Lookup_Departments!A:B,2,0)</f>
        <v>Human Resources</v>
      </c>
      <c r="I62" s="12">
        <v>44079</v>
      </c>
      <c r="J62" s="6">
        <f t="shared" ca="1" si="2"/>
        <v>5</v>
      </c>
      <c r="K62" s="15">
        <v>114748</v>
      </c>
      <c r="M62" s="6">
        <v>68.077464788732385</v>
      </c>
      <c r="O62" s="4" t="str">
        <f t="shared" si="3"/>
        <v>Developing</v>
      </c>
      <c r="P62" s="24" t="str">
        <f t="shared" si="4"/>
        <v>0.02</v>
      </c>
      <c r="Q62" s="28">
        <f t="shared" si="5"/>
        <v>2294.96</v>
      </c>
      <c r="R62" s="4" t="s">
        <v>12</v>
      </c>
      <c r="S62" t="str">
        <f t="shared" si="6"/>
        <v>Active</v>
      </c>
    </row>
    <row r="63" spans="2:19" x14ac:dyDescent="0.35">
      <c r="B63" s="4" t="s">
        <v>143</v>
      </c>
      <c r="C63" s="4" t="s">
        <v>59</v>
      </c>
      <c r="D63" s="4" t="s">
        <v>32</v>
      </c>
      <c r="E63" s="4" t="s">
        <v>358</v>
      </c>
      <c r="F63" s="4" t="s">
        <v>33</v>
      </c>
      <c r="G63" s="8" t="str">
        <f t="shared" si="1"/>
        <v>OPS06</v>
      </c>
      <c r="H63" s="8" t="str">
        <f>VLOOKUP(G:G,Lookup_Departments!A:B,2,0)</f>
        <v>Operations</v>
      </c>
      <c r="I63" s="12">
        <v>42800</v>
      </c>
      <c r="J63" s="6">
        <f t="shared" ca="1" si="2"/>
        <v>9</v>
      </c>
      <c r="K63" s="15">
        <v>63302</v>
      </c>
      <c r="M63" s="6">
        <v>68.077464788732385</v>
      </c>
      <c r="O63" s="4" t="str">
        <f t="shared" si="3"/>
        <v>Developing</v>
      </c>
      <c r="P63" s="24" t="str">
        <f t="shared" si="4"/>
        <v>0.02</v>
      </c>
      <c r="Q63" s="28">
        <f t="shared" si="5"/>
        <v>1266.04</v>
      </c>
      <c r="R63" s="4" t="s">
        <v>12</v>
      </c>
      <c r="S63" t="str">
        <f t="shared" si="6"/>
        <v>Active</v>
      </c>
    </row>
    <row r="64" spans="2:19" x14ac:dyDescent="0.35">
      <c r="B64" s="4" t="s">
        <v>144</v>
      </c>
      <c r="C64" s="4" t="s">
        <v>59</v>
      </c>
      <c r="D64" s="4" t="s">
        <v>47</v>
      </c>
      <c r="E64" s="4" t="s">
        <v>359</v>
      </c>
      <c r="F64" s="4" t="s">
        <v>84</v>
      </c>
      <c r="G64" s="8" t="str">
        <f t="shared" si="1"/>
        <v>IT02</v>
      </c>
      <c r="H64" s="8" t="str">
        <f>VLOOKUP(G:G,Lookup_Departments!A:B,2,0)</f>
        <v>Information Technology</v>
      </c>
      <c r="I64" s="12">
        <v>42122</v>
      </c>
      <c r="J64" s="6">
        <f t="shared" ca="1" si="2"/>
        <v>11</v>
      </c>
      <c r="K64" s="15">
        <v>75519</v>
      </c>
      <c r="M64" s="6">
        <v>68.077464788732385</v>
      </c>
      <c r="O64" s="4" t="str">
        <f t="shared" si="3"/>
        <v>Developing</v>
      </c>
      <c r="P64" s="24" t="str">
        <f t="shared" si="4"/>
        <v>0.02</v>
      </c>
      <c r="Q64" s="28">
        <f t="shared" si="5"/>
        <v>1510.38</v>
      </c>
      <c r="R64" s="4" t="s">
        <v>12</v>
      </c>
      <c r="S64" t="str">
        <f t="shared" si="6"/>
        <v>Active</v>
      </c>
    </row>
    <row r="65" spans="2:19" x14ac:dyDescent="0.35">
      <c r="B65" s="4" t="s">
        <v>146</v>
      </c>
      <c r="C65" s="4" t="s">
        <v>53</v>
      </c>
      <c r="D65" s="4" t="s">
        <v>64</v>
      </c>
      <c r="E65" s="4" t="s">
        <v>351</v>
      </c>
      <c r="F65" s="4" t="s">
        <v>76</v>
      </c>
      <c r="G65" s="8" t="str">
        <f t="shared" si="1"/>
        <v>FIN03</v>
      </c>
      <c r="H65" s="8" t="str">
        <f>VLOOKUP(G:G,Lookup_Departments!A:B,2,0)</f>
        <v>Finance</v>
      </c>
      <c r="I65" s="12">
        <v>42838</v>
      </c>
      <c r="J65" s="6">
        <f t="shared" ca="1" si="2"/>
        <v>9</v>
      </c>
      <c r="K65" s="15">
        <v>103891</v>
      </c>
      <c r="M65" s="6">
        <v>68.077464788732385</v>
      </c>
      <c r="O65" s="4" t="str">
        <f t="shared" si="3"/>
        <v>Developing</v>
      </c>
      <c r="P65" s="24" t="str">
        <f t="shared" si="4"/>
        <v>0.02</v>
      </c>
      <c r="Q65" s="28">
        <f t="shared" si="5"/>
        <v>2077.8200000000002</v>
      </c>
      <c r="R65" s="4" t="s">
        <v>12</v>
      </c>
      <c r="S65" t="str">
        <f t="shared" si="6"/>
        <v>Active</v>
      </c>
    </row>
    <row r="66" spans="2:19" x14ac:dyDescent="0.35">
      <c r="B66" s="4" t="s">
        <v>147</v>
      </c>
      <c r="C66" s="4" t="s">
        <v>28</v>
      </c>
      <c r="D66" s="4" t="s">
        <v>64</v>
      </c>
      <c r="E66" s="4" t="s">
        <v>360</v>
      </c>
      <c r="F66" s="4" t="s">
        <v>33</v>
      </c>
      <c r="G66" s="8" t="str">
        <f t="shared" si="1"/>
        <v>OPS06</v>
      </c>
      <c r="H66" s="8" t="str">
        <f>VLOOKUP(G:G,Lookup_Departments!A:B,2,0)</f>
        <v>Operations</v>
      </c>
      <c r="I66" s="12">
        <v>44827</v>
      </c>
      <c r="J66" s="6">
        <f t="shared" ca="1" si="2"/>
        <v>3</v>
      </c>
      <c r="K66" s="15">
        <v>83603.930769230763</v>
      </c>
      <c r="M66" s="6">
        <v>68.077464788732385</v>
      </c>
      <c r="O66" s="4" t="str">
        <f t="shared" si="3"/>
        <v>Developing</v>
      </c>
      <c r="P66" s="24" t="str">
        <f t="shared" si="4"/>
        <v>0.02</v>
      </c>
      <c r="Q66" s="28">
        <f t="shared" si="5"/>
        <v>1672.0786153846152</v>
      </c>
      <c r="R66" s="4" t="s">
        <v>22</v>
      </c>
      <c r="S66" t="str">
        <f t="shared" ref="S66" si="7">PROPER(TRIM(R:R))</f>
        <v>Left</v>
      </c>
    </row>
    <row r="67" spans="2:19" x14ac:dyDescent="0.35">
      <c r="B67" s="4" t="s">
        <v>148</v>
      </c>
      <c r="C67" s="4" t="s">
        <v>28</v>
      </c>
      <c r="D67" s="4" t="s">
        <v>60</v>
      </c>
      <c r="E67" s="4" t="s">
        <v>361</v>
      </c>
      <c r="F67" s="4" t="s">
        <v>61</v>
      </c>
      <c r="G67" s="8" t="str">
        <f t="shared" ref="G67:G130" si="8">UPPER(TRIM(F:F))</f>
        <v>MKT04</v>
      </c>
      <c r="H67" s="8" t="str">
        <f>VLOOKUP(G:G,Lookup_Departments!A:B,2,0)</f>
        <v>Marketing</v>
      </c>
      <c r="I67" s="12">
        <v>42685</v>
      </c>
      <c r="J67" s="6">
        <f t="shared" ref="J67:J130" ca="1" si="9">DATEDIF(I67,TODAY(),"Y")</f>
        <v>9</v>
      </c>
      <c r="K67" s="15">
        <v>50936</v>
      </c>
      <c r="M67" s="6">
        <v>68.077464788732385</v>
      </c>
      <c r="O67" s="4" t="str">
        <f t="shared" ref="O67:O130" si="10">IF(M67&gt;95,"Outstanding",IF(M67&gt;85,"Exceeding",IF(M67&gt;70,"Achieving",IF(M67&gt;50,"Developing",IF(M67&lt;50,"Needs Improvement")))))</f>
        <v>Developing</v>
      </c>
      <c r="P67" s="24" t="str">
        <f t="shared" ref="P67:P130" si="11">IF(M67&gt;95,"0.12",IF(M67&gt;85,"0.08",IF(M67&gt;70,"0.05",IF(M67&gt;50,"0.02",IF(M67&lt;50,"0")))))</f>
        <v>0.02</v>
      </c>
      <c r="Q67" s="28">
        <f t="shared" ref="Q67:Q130" si="12">K67*P67</f>
        <v>1018.72</v>
      </c>
      <c r="R67" s="4" t="s">
        <v>12</v>
      </c>
      <c r="S67" t="str">
        <f t="shared" ref="S67:S130" si="13">PROPER(TRIM(R:R))</f>
        <v>Active</v>
      </c>
    </row>
    <row r="68" spans="2:19" x14ac:dyDescent="0.35">
      <c r="B68" s="4" t="s">
        <v>151</v>
      </c>
      <c r="C68" s="4" t="s">
        <v>43</v>
      </c>
      <c r="D68" s="4" t="s">
        <v>47</v>
      </c>
      <c r="E68" s="4" t="s">
        <v>362</v>
      </c>
      <c r="F68" s="4" t="s">
        <v>79</v>
      </c>
      <c r="G68" s="8" t="str">
        <f t="shared" si="8"/>
        <v>SAL05</v>
      </c>
      <c r="H68" s="8" t="str">
        <f>VLOOKUP(G:G,Lookup_Departments!A:B,2,0)</f>
        <v>Sales</v>
      </c>
      <c r="I68" s="12">
        <v>42818</v>
      </c>
      <c r="J68" s="6">
        <f t="shared" ca="1" si="9"/>
        <v>9</v>
      </c>
      <c r="K68" s="15">
        <v>111240</v>
      </c>
      <c r="M68" s="6">
        <v>68.077464788732385</v>
      </c>
      <c r="O68" s="4" t="str">
        <f t="shared" si="10"/>
        <v>Developing</v>
      </c>
      <c r="P68" s="24" t="str">
        <f t="shared" si="11"/>
        <v>0.02</v>
      </c>
      <c r="Q68" s="28">
        <f t="shared" si="12"/>
        <v>2224.8000000000002</v>
      </c>
      <c r="R68" s="4" t="s">
        <v>45</v>
      </c>
      <c r="S68" t="str">
        <f t="shared" si="13"/>
        <v>Active</v>
      </c>
    </row>
    <row r="69" spans="2:19" x14ac:dyDescent="0.35">
      <c r="B69" s="4" t="s">
        <v>154</v>
      </c>
      <c r="C69" s="4" t="s">
        <v>14</v>
      </c>
      <c r="D69" s="4" t="s">
        <v>19</v>
      </c>
      <c r="E69" s="4" t="s">
        <v>363</v>
      </c>
      <c r="F69" s="4" t="s">
        <v>97</v>
      </c>
      <c r="G69" s="8" t="str">
        <f t="shared" si="8"/>
        <v>HR01</v>
      </c>
      <c r="H69" s="8" t="str">
        <f>VLOOKUP(G:G,Lookup_Departments!A:B,2,0)</f>
        <v>Human Resources</v>
      </c>
      <c r="I69" s="12">
        <v>43590</v>
      </c>
      <c r="J69" s="6">
        <f t="shared" ca="1" si="9"/>
        <v>7</v>
      </c>
      <c r="K69" s="15">
        <v>51567</v>
      </c>
      <c r="M69" s="6">
        <v>68.077464788732385</v>
      </c>
      <c r="O69" s="4" t="str">
        <f t="shared" si="10"/>
        <v>Developing</v>
      </c>
      <c r="P69" s="24" t="str">
        <f t="shared" si="11"/>
        <v>0.02</v>
      </c>
      <c r="Q69" s="28">
        <f t="shared" si="12"/>
        <v>1031.3399999999999</v>
      </c>
      <c r="R69" s="4" t="s">
        <v>116</v>
      </c>
      <c r="S69" t="str">
        <f t="shared" si="13"/>
        <v>Resigned</v>
      </c>
    </row>
    <row r="70" spans="2:19" x14ac:dyDescent="0.35">
      <c r="B70" s="4" t="s">
        <v>156</v>
      </c>
      <c r="C70" s="4" t="s">
        <v>105</v>
      </c>
      <c r="D70" s="4" t="s">
        <v>54</v>
      </c>
      <c r="E70" s="4" t="s">
        <v>364</v>
      </c>
      <c r="F70" s="4" t="s">
        <v>157</v>
      </c>
      <c r="G70" s="8" t="str">
        <f t="shared" si="8"/>
        <v>HR01</v>
      </c>
      <c r="H70" s="8" t="str">
        <f>VLOOKUP(G:G,Lookup_Departments!A:B,2,0)</f>
        <v>Human Resources</v>
      </c>
      <c r="I70" s="12">
        <v>44402</v>
      </c>
      <c r="J70" s="6">
        <f t="shared" ca="1" si="9"/>
        <v>4</v>
      </c>
      <c r="K70" s="15">
        <v>83603.930769230763</v>
      </c>
      <c r="M70" s="6">
        <v>68.077464788732385</v>
      </c>
      <c r="O70" s="4" t="str">
        <f t="shared" si="10"/>
        <v>Developing</v>
      </c>
      <c r="P70" s="24" t="str">
        <f t="shared" si="11"/>
        <v>0.02</v>
      </c>
      <c r="Q70" s="28">
        <f t="shared" si="12"/>
        <v>1672.0786153846152</v>
      </c>
      <c r="R70" s="4" t="s">
        <v>45</v>
      </c>
      <c r="S70" t="str">
        <f t="shared" si="13"/>
        <v>Active</v>
      </c>
    </row>
    <row r="71" spans="2:19" x14ac:dyDescent="0.35">
      <c r="B71" s="4" t="s">
        <v>158</v>
      </c>
      <c r="C71" s="4" t="s">
        <v>59</v>
      </c>
      <c r="D71" s="4" t="s">
        <v>47</v>
      </c>
      <c r="E71" s="4" t="s">
        <v>359</v>
      </c>
      <c r="F71" s="4" t="s">
        <v>97</v>
      </c>
      <c r="G71" s="8" t="str">
        <f t="shared" si="8"/>
        <v>HR01</v>
      </c>
      <c r="H71" s="8" t="str">
        <f>VLOOKUP(G:G,Lookup_Departments!A:B,2,0)</f>
        <v>Human Resources</v>
      </c>
      <c r="I71" s="12">
        <v>43008</v>
      </c>
      <c r="J71" s="6">
        <f t="shared" ca="1" si="9"/>
        <v>8</v>
      </c>
      <c r="K71" s="15">
        <v>55270</v>
      </c>
      <c r="M71" s="6">
        <v>68.077464788732385</v>
      </c>
      <c r="O71" s="4" t="str">
        <f t="shared" si="10"/>
        <v>Developing</v>
      </c>
      <c r="P71" s="24" t="str">
        <f t="shared" si="11"/>
        <v>0.02</v>
      </c>
      <c r="Q71" s="28">
        <f t="shared" si="12"/>
        <v>1105.4000000000001</v>
      </c>
      <c r="R71" s="4" t="s">
        <v>45</v>
      </c>
      <c r="S71" t="str">
        <f t="shared" si="13"/>
        <v>Active</v>
      </c>
    </row>
    <row r="72" spans="2:19" x14ac:dyDescent="0.35">
      <c r="B72" s="4" t="s">
        <v>159</v>
      </c>
      <c r="C72" s="4" t="s">
        <v>160</v>
      </c>
      <c r="D72" s="4" t="s">
        <v>133</v>
      </c>
      <c r="E72" s="4" t="s">
        <v>365</v>
      </c>
      <c r="F72" s="4" t="s">
        <v>44</v>
      </c>
      <c r="G72" s="8" t="str">
        <f t="shared" si="8"/>
        <v>SAL05</v>
      </c>
      <c r="H72" s="8" t="str">
        <f>VLOOKUP(G:G,Lookup_Departments!A:B,2,0)</f>
        <v>Sales</v>
      </c>
      <c r="I72" s="12">
        <v>42192</v>
      </c>
      <c r="J72" s="6">
        <f t="shared" ca="1" si="9"/>
        <v>11</v>
      </c>
      <c r="K72" s="15">
        <v>65235</v>
      </c>
      <c r="M72" s="6">
        <v>68.077464788732385</v>
      </c>
      <c r="O72" s="4" t="str">
        <f t="shared" si="10"/>
        <v>Developing</v>
      </c>
      <c r="P72" s="24" t="str">
        <f t="shared" si="11"/>
        <v>0.02</v>
      </c>
      <c r="Q72" s="28">
        <f t="shared" si="12"/>
        <v>1304.7</v>
      </c>
      <c r="R72" s="4" t="s">
        <v>17</v>
      </c>
      <c r="S72" t="str">
        <f t="shared" si="13"/>
        <v>Active</v>
      </c>
    </row>
    <row r="73" spans="2:19" x14ac:dyDescent="0.35">
      <c r="B73" s="4" t="s">
        <v>161</v>
      </c>
      <c r="C73" s="4" t="s">
        <v>24</v>
      </c>
      <c r="D73" s="4" t="s">
        <v>19</v>
      </c>
      <c r="E73" s="4" t="s">
        <v>366</v>
      </c>
      <c r="F73" s="4" t="s">
        <v>44</v>
      </c>
      <c r="G73" s="8" t="str">
        <f t="shared" si="8"/>
        <v>SAL05</v>
      </c>
      <c r="H73" s="8" t="str">
        <f>VLOOKUP(G:G,Lookup_Departments!A:B,2,0)</f>
        <v>Sales</v>
      </c>
      <c r="I73" s="12">
        <v>43283</v>
      </c>
      <c r="J73" s="6">
        <f t="shared" ca="1" si="9"/>
        <v>8</v>
      </c>
      <c r="K73" s="15">
        <v>83603.930769230763</v>
      </c>
      <c r="M73" s="6">
        <v>68.077464788732385</v>
      </c>
      <c r="O73" s="4" t="str">
        <f t="shared" si="10"/>
        <v>Developing</v>
      </c>
      <c r="P73" s="24" t="str">
        <f t="shared" si="11"/>
        <v>0.02</v>
      </c>
      <c r="Q73" s="28">
        <f t="shared" si="12"/>
        <v>1672.0786153846152</v>
      </c>
      <c r="R73" s="4" t="s">
        <v>22</v>
      </c>
      <c r="S73" t="str">
        <f t="shared" si="13"/>
        <v>Left</v>
      </c>
    </row>
    <row r="74" spans="2:19" x14ac:dyDescent="0.35">
      <c r="B74" s="4" t="s">
        <v>162</v>
      </c>
      <c r="C74" s="4" t="s">
        <v>66</v>
      </c>
      <c r="D74" s="4" t="s">
        <v>19</v>
      </c>
      <c r="E74" s="4" t="s">
        <v>367</v>
      </c>
      <c r="F74" s="4" t="s">
        <v>48</v>
      </c>
      <c r="G74" s="8" t="str">
        <f t="shared" si="8"/>
        <v>SAL05</v>
      </c>
      <c r="H74" s="8" t="str">
        <f>VLOOKUP(G:G,Lookup_Departments!A:B,2,0)</f>
        <v>Sales</v>
      </c>
      <c r="I74" s="12">
        <v>44819</v>
      </c>
      <c r="J74" s="6">
        <f t="shared" ca="1" si="9"/>
        <v>3</v>
      </c>
      <c r="K74" s="15">
        <v>83603.930769230763</v>
      </c>
      <c r="M74" s="6">
        <v>68.077464788732385</v>
      </c>
      <c r="O74" s="4" t="str">
        <f t="shared" si="10"/>
        <v>Developing</v>
      </c>
      <c r="P74" s="24" t="str">
        <f t="shared" si="11"/>
        <v>0.02</v>
      </c>
      <c r="Q74" s="28">
        <f t="shared" si="12"/>
        <v>1672.0786153846152</v>
      </c>
      <c r="R74" s="4" t="s">
        <v>22</v>
      </c>
      <c r="S74" t="str">
        <f t="shared" si="13"/>
        <v>Left</v>
      </c>
    </row>
    <row r="75" spans="2:19" x14ac:dyDescent="0.35">
      <c r="B75" s="4" t="s">
        <v>163</v>
      </c>
      <c r="C75" s="4" t="s">
        <v>53</v>
      </c>
      <c r="D75" s="4" t="s">
        <v>19</v>
      </c>
      <c r="E75" s="4" t="s">
        <v>368</v>
      </c>
      <c r="F75" s="4" t="s">
        <v>79</v>
      </c>
      <c r="G75" s="8" t="str">
        <f t="shared" si="8"/>
        <v>SAL05</v>
      </c>
      <c r="H75" s="8" t="str">
        <f>VLOOKUP(G:G,Lookup_Departments!A:B,2,0)</f>
        <v>Sales</v>
      </c>
      <c r="I75" s="12">
        <v>42249</v>
      </c>
      <c r="J75" s="6">
        <f t="shared" ca="1" si="9"/>
        <v>10</v>
      </c>
      <c r="K75" s="15">
        <v>83603.930769230763</v>
      </c>
      <c r="M75" s="6">
        <v>68.077464788732385</v>
      </c>
      <c r="O75" s="4" t="str">
        <f t="shared" si="10"/>
        <v>Developing</v>
      </c>
      <c r="P75" s="24" t="str">
        <f t="shared" si="11"/>
        <v>0.02</v>
      </c>
      <c r="Q75" s="28">
        <f t="shared" si="12"/>
        <v>1672.0786153846152</v>
      </c>
      <c r="R75" s="4" t="s">
        <v>45</v>
      </c>
      <c r="S75" t="str">
        <f t="shared" si="13"/>
        <v>Active</v>
      </c>
    </row>
    <row r="76" spans="2:19" x14ac:dyDescent="0.35">
      <c r="B76" s="4" t="s">
        <v>164</v>
      </c>
      <c r="C76" s="4" t="s">
        <v>113</v>
      </c>
      <c r="D76" s="4" t="s">
        <v>36</v>
      </c>
      <c r="E76" s="4" t="s">
        <v>369</v>
      </c>
      <c r="F76" s="4" t="s">
        <v>165</v>
      </c>
      <c r="G76" s="8" t="str">
        <f t="shared" si="8"/>
        <v>OPS06</v>
      </c>
      <c r="H76" s="8" t="str">
        <f>VLOOKUP(G:G,Lookup_Departments!A:B,2,0)</f>
        <v>Operations</v>
      </c>
      <c r="I76" s="12">
        <v>42654</v>
      </c>
      <c r="J76" s="6">
        <f t="shared" ca="1" si="9"/>
        <v>9</v>
      </c>
      <c r="K76" s="15">
        <v>48823</v>
      </c>
      <c r="M76" s="6">
        <v>68.077464788732385</v>
      </c>
      <c r="O76" s="4" t="str">
        <f t="shared" si="10"/>
        <v>Developing</v>
      </c>
      <c r="P76" s="24" t="str">
        <f t="shared" si="11"/>
        <v>0.02</v>
      </c>
      <c r="Q76" s="28">
        <f t="shared" si="12"/>
        <v>976.46</v>
      </c>
      <c r="R76" s="4" t="s">
        <v>17</v>
      </c>
      <c r="S76" t="str">
        <f t="shared" si="13"/>
        <v>Active</v>
      </c>
    </row>
    <row r="77" spans="2:19" x14ac:dyDescent="0.35">
      <c r="B77" s="4" t="s">
        <v>167</v>
      </c>
      <c r="C77" s="4" t="s">
        <v>53</v>
      </c>
      <c r="D77" s="4" t="s">
        <v>19</v>
      </c>
      <c r="E77" s="4" t="s">
        <v>368</v>
      </c>
      <c r="F77" s="4" t="s">
        <v>76</v>
      </c>
      <c r="G77" s="8" t="str">
        <f t="shared" si="8"/>
        <v>FIN03</v>
      </c>
      <c r="H77" s="8" t="str">
        <f>VLOOKUP(G:G,Lookup_Departments!A:B,2,0)</f>
        <v>Finance</v>
      </c>
      <c r="I77" s="12">
        <v>43575</v>
      </c>
      <c r="J77" s="6">
        <f t="shared" ca="1" si="9"/>
        <v>7</v>
      </c>
      <c r="K77" s="15">
        <v>45196</v>
      </c>
      <c r="M77" s="6">
        <v>68.077464788732385</v>
      </c>
      <c r="O77" s="4" t="str">
        <f t="shared" si="10"/>
        <v>Developing</v>
      </c>
      <c r="P77" s="24" t="str">
        <f t="shared" si="11"/>
        <v>0.02</v>
      </c>
      <c r="Q77" s="28">
        <f t="shared" si="12"/>
        <v>903.92000000000007</v>
      </c>
      <c r="R77" s="4" t="s">
        <v>22</v>
      </c>
      <c r="S77" t="str">
        <f t="shared" si="13"/>
        <v>Left</v>
      </c>
    </row>
    <row r="78" spans="2:19" x14ac:dyDescent="0.35">
      <c r="B78" s="4" t="s">
        <v>168</v>
      </c>
      <c r="C78" s="4" t="s">
        <v>53</v>
      </c>
      <c r="D78" s="4" t="s">
        <v>41</v>
      </c>
      <c r="E78" s="4" t="s">
        <v>370</v>
      </c>
      <c r="F78" s="4" t="s">
        <v>11</v>
      </c>
      <c r="G78" s="8" t="str">
        <f t="shared" si="8"/>
        <v>IT02</v>
      </c>
      <c r="H78" s="8" t="str">
        <f>VLOOKUP(G:G,Lookup_Departments!A:B,2,0)</f>
        <v>Information Technology</v>
      </c>
      <c r="I78" s="12">
        <v>42785</v>
      </c>
      <c r="J78" s="6">
        <f t="shared" ca="1" si="9"/>
        <v>9</v>
      </c>
      <c r="K78" s="15">
        <v>86246</v>
      </c>
      <c r="M78" s="6">
        <v>68.077464788732385</v>
      </c>
      <c r="O78" s="4" t="str">
        <f t="shared" si="10"/>
        <v>Developing</v>
      </c>
      <c r="P78" s="24" t="str">
        <f t="shared" si="11"/>
        <v>0.02</v>
      </c>
      <c r="Q78" s="28">
        <f t="shared" si="12"/>
        <v>1724.92</v>
      </c>
      <c r="R78" s="4" t="s">
        <v>45</v>
      </c>
      <c r="S78" t="str">
        <f t="shared" si="13"/>
        <v>Active</v>
      </c>
    </row>
    <row r="79" spans="2:19" x14ac:dyDescent="0.35">
      <c r="B79" s="4" t="s">
        <v>171</v>
      </c>
      <c r="C79" s="4" t="s">
        <v>9</v>
      </c>
      <c r="D79" s="4" t="s">
        <v>47</v>
      </c>
      <c r="E79" s="4" t="s">
        <v>315</v>
      </c>
      <c r="F79" s="4" t="s">
        <v>44</v>
      </c>
      <c r="G79" s="8" t="str">
        <f t="shared" si="8"/>
        <v>SAL05</v>
      </c>
      <c r="H79" s="8" t="str">
        <f>VLOOKUP(G:G,Lookup_Departments!A:B,2,0)</f>
        <v>Sales</v>
      </c>
      <c r="I79" s="12">
        <v>44446</v>
      </c>
      <c r="J79" s="6">
        <f t="shared" ca="1" si="9"/>
        <v>4</v>
      </c>
      <c r="K79" s="15">
        <v>70359</v>
      </c>
      <c r="M79" s="6">
        <v>68.077464788732385</v>
      </c>
      <c r="O79" s="4" t="str">
        <f t="shared" si="10"/>
        <v>Developing</v>
      </c>
      <c r="P79" s="24" t="str">
        <f t="shared" si="11"/>
        <v>0.02</v>
      </c>
      <c r="Q79" s="28">
        <f t="shared" si="12"/>
        <v>1407.18</v>
      </c>
      <c r="R79" s="4" t="s">
        <v>30</v>
      </c>
      <c r="S79" t="str">
        <f t="shared" si="13"/>
        <v>Left</v>
      </c>
    </row>
    <row r="80" spans="2:19" x14ac:dyDescent="0.35">
      <c r="B80" s="4" t="s">
        <v>173</v>
      </c>
      <c r="C80" s="4" t="s">
        <v>94</v>
      </c>
      <c r="D80" s="4" t="s">
        <v>47</v>
      </c>
      <c r="E80" s="4" t="s">
        <v>340</v>
      </c>
      <c r="F80" s="4" t="s">
        <v>61</v>
      </c>
      <c r="G80" s="8" t="str">
        <f t="shared" si="8"/>
        <v>MKT04</v>
      </c>
      <c r="H80" s="8" t="str">
        <f>VLOOKUP(G:G,Lookup_Departments!A:B,2,0)</f>
        <v>Marketing</v>
      </c>
      <c r="I80" s="12">
        <v>43599</v>
      </c>
      <c r="J80" s="6">
        <f t="shared" ca="1" si="9"/>
        <v>7</v>
      </c>
      <c r="K80" s="15">
        <v>83603.930769230763</v>
      </c>
      <c r="M80" s="6">
        <v>68.077464788732385</v>
      </c>
      <c r="O80" s="4" t="str">
        <f t="shared" si="10"/>
        <v>Developing</v>
      </c>
      <c r="P80" s="24" t="str">
        <f t="shared" si="11"/>
        <v>0.02</v>
      </c>
      <c r="Q80" s="28">
        <f t="shared" si="12"/>
        <v>1672.0786153846152</v>
      </c>
      <c r="R80" s="4" t="s">
        <v>17</v>
      </c>
      <c r="S80" t="str">
        <f t="shared" si="13"/>
        <v>Active</v>
      </c>
    </row>
    <row r="81" spans="2:19" x14ac:dyDescent="0.35">
      <c r="B81" s="4" t="s">
        <v>174</v>
      </c>
      <c r="C81" s="4" t="s">
        <v>39</v>
      </c>
      <c r="D81" s="4" t="s">
        <v>133</v>
      </c>
      <c r="E81" s="4" t="s">
        <v>371</v>
      </c>
      <c r="F81" s="4" t="s">
        <v>37</v>
      </c>
      <c r="G81" s="8" t="str">
        <f t="shared" si="8"/>
        <v>OPS06</v>
      </c>
      <c r="H81" s="8" t="str">
        <f>VLOOKUP(G:G,Lookup_Departments!A:B,2,0)</f>
        <v>Operations</v>
      </c>
      <c r="I81" s="12">
        <v>42330</v>
      </c>
      <c r="J81" s="6">
        <f t="shared" ca="1" si="9"/>
        <v>10</v>
      </c>
      <c r="K81" s="15">
        <v>86480</v>
      </c>
      <c r="M81" s="6">
        <v>68.077464788732385</v>
      </c>
      <c r="O81" s="4" t="str">
        <f t="shared" si="10"/>
        <v>Developing</v>
      </c>
      <c r="P81" s="24" t="str">
        <f t="shared" si="11"/>
        <v>0.02</v>
      </c>
      <c r="Q81" s="28">
        <f t="shared" si="12"/>
        <v>1729.6000000000001</v>
      </c>
      <c r="R81" s="4" t="s">
        <v>17</v>
      </c>
      <c r="S81" t="str">
        <f t="shared" si="13"/>
        <v>Active</v>
      </c>
    </row>
    <row r="82" spans="2:19" x14ac:dyDescent="0.35">
      <c r="B82" s="4" t="s">
        <v>175</v>
      </c>
      <c r="C82" s="4" t="s">
        <v>14</v>
      </c>
      <c r="D82" s="4" t="s">
        <v>29</v>
      </c>
      <c r="E82" s="4" t="s">
        <v>372</v>
      </c>
      <c r="F82" s="4" t="s">
        <v>138</v>
      </c>
      <c r="G82" s="8" t="str">
        <f t="shared" si="8"/>
        <v>HR01</v>
      </c>
      <c r="H82" s="8" t="str">
        <f>VLOOKUP(G:G,Lookup_Departments!A:B,2,0)</f>
        <v>Human Resources</v>
      </c>
      <c r="I82" s="12">
        <v>43372</v>
      </c>
      <c r="J82" s="6">
        <f t="shared" ca="1" si="9"/>
        <v>7</v>
      </c>
      <c r="K82" s="15">
        <v>47694</v>
      </c>
      <c r="M82" s="6">
        <v>68.077464788732385</v>
      </c>
      <c r="O82" s="4" t="str">
        <f t="shared" si="10"/>
        <v>Developing</v>
      </c>
      <c r="P82" s="24" t="str">
        <f t="shared" si="11"/>
        <v>0.02</v>
      </c>
      <c r="Q82" s="28">
        <f t="shared" si="12"/>
        <v>953.88</v>
      </c>
      <c r="R82" s="4" t="s">
        <v>17</v>
      </c>
      <c r="S82" t="str">
        <f t="shared" si="13"/>
        <v>Active</v>
      </c>
    </row>
    <row r="83" spans="2:19" x14ac:dyDescent="0.35">
      <c r="B83" s="4" t="s">
        <v>178</v>
      </c>
      <c r="C83" s="4" t="s">
        <v>105</v>
      </c>
      <c r="D83" s="4" t="s">
        <v>36</v>
      </c>
      <c r="E83" s="4" t="s">
        <v>373</v>
      </c>
      <c r="F83" s="4" t="s">
        <v>11</v>
      </c>
      <c r="G83" s="8" t="str">
        <f t="shared" si="8"/>
        <v>IT02</v>
      </c>
      <c r="H83" s="8" t="str">
        <f>VLOOKUP(G:G,Lookup_Departments!A:B,2,0)</f>
        <v>Information Technology</v>
      </c>
      <c r="I83" s="12">
        <v>45171</v>
      </c>
      <c r="J83" s="6">
        <f t="shared" ca="1" si="9"/>
        <v>2</v>
      </c>
      <c r="K83" s="15">
        <v>83724</v>
      </c>
      <c r="M83" s="6">
        <v>68.077464788732385</v>
      </c>
      <c r="O83" s="4" t="str">
        <f t="shared" si="10"/>
        <v>Developing</v>
      </c>
      <c r="P83" s="24" t="str">
        <f t="shared" si="11"/>
        <v>0.02</v>
      </c>
      <c r="Q83" s="28">
        <f t="shared" si="12"/>
        <v>1674.48</v>
      </c>
      <c r="R83" s="4" t="s">
        <v>116</v>
      </c>
      <c r="S83" t="str">
        <f t="shared" si="13"/>
        <v>Resigned</v>
      </c>
    </row>
    <row r="84" spans="2:19" x14ac:dyDescent="0.35">
      <c r="B84" s="4" t="s">
        <v>179</v>
      </c>
      <c r="C84" s="4" t="s">
        <v>28</v>
      </c>
      <c r="D84" s="4" t="s">
        <v>54</v>
      </c>
      <c r="E84" s="4" t="s">
        <v>374</v>
      </c>
      <c r="F84" s="4" t="s">
        <v>76</v>
      </c>
      <c r="G84" s="8" t="str">
        <f t="shared" si="8"/>
        <v>FIN03</v>
      </c>
      <c r="H84" s="8" t="str">
        <f>VLOOKUP(G:G,Lookup_Departments!A:B,2,0)</f>
        <v>Finance</v>
      </c>
      <c r="I84" s="12">
        <v>44759</v>
      </c>
      <c r="J84" s="6">
        <f t="shared" ca="1" si="9"/>
        <v>3</v>
      </c>
      <c r="K84" s="15">
        <v>98299</v>
      </c>
      <c r="M84" s="6">
        <v>68.077464788732385</v>
      </c>
      <c r="O84" s="4" t="str">
        <f t="shared" si="10"/>
        <v>Developing</v>
      </c>
      <c r="P84" s="24" t="str">
        <f t="shared" si="11"/>
        <v>0.02</v>
      </c>
      <c r="Q84" s="28">
        <f t="shared" si="12"/>
        <v>1965.98</v>
      </c>
      <c r="R84" s="4" t="s">
        <v>45</v>
      </c>
      <c r="S84" t="str">
        <f t="shared" si="13"/>
        <v>Active</v>
      </c>
    </row>
    <row r="85" spans="2:19" x14ac:dyDescent="0.35">
      <c r="B85" s="4" t="s">
        <v>180</v>
      </c>
      <c r="C85" s="4" t="s">
        <v>113</v>
      </c>
      <c r="D85" s="4" t="s">
        <v>54</v>
      </c>
      <c r="E85" s="4" t="s">
        <v>375</v>
      </c>
      <c r="F85" s="4" t="s">
        <v>26</v>
      </c>
      <c r="G85" s="8" t="str">
        <f t="shared" si="8"/>
        <v>FIN03</v>
      </c>
      <c r="H85" s="8" t="str">
        <f>VLOOKUP(G:G,Lookup_Departments!A:B,2,0)</f>
        <v>Finance</v>
      </c>
      <c r="I85" s="12">
        <v>44234</v>
      </c>
      <c r="J85" s="6">
        <f t="shared" ca="1" si="9"/>
        <v>5</v>
      </c>
      <c r="K85" s="15">
        <v>83603.930769230763</v>
      </c>
      <c r="M85" s="6">
        <v>68.077464788732385</v>
      </c>
      <c r="O85" s="4" t="str">
        <f t="shared" si="10"/>
        <v>Developing</v>
      </c>
      <c r="P85" s="24" t="str">
        <f t="shared" si="11"/>
        <v>0.02</v>
      </c>
      <c r="Q85" s="28">
        <f t="shared" si="12"/>
        <v>1672.0786153846152</v>
      </c>
      <c r="R85" s="4" t="s">
        <v>45</v>
      </c>
      <c r="S85" t="str">
        <f t="shared" si="13"/>
        <v>Active</v>
      </c>
    </row>
    <row r="86" spans="2:19" x14ac:dyDescent="0.35">
      <c r="B86" s="4" t="s">
        <v>182</v>
      </c>
      <c r="C86" s="4" t="s">
        <v>24</v>
      </c>
      <c r="D86" s="4" t="s">
        <v>32</v>
      </c>
      <c r="E86" s="4" t="s">
        <v>376</v>
      </c>
      <c r="F86" s="4" t="s">
        <v>84</v>
      </c>
      <c r="G86" s="8" t="str">
        <f t="shared" si="8"/>
        <v>IT02</v>
      </c>
      <c r="H86" s="8" t="str">
        <f>VLOOKUP(G:G,Lookup_Departments!A:B,2,0)</f>
        <v>Information Technology</v>
      </c>
      <c r="I86" s="12">
        <v>45203</v>
      </c>
      <c r="J86" s="6">
        <f t="shared" ca="1" si="9"/>
        <v>2</v>
      </c>
      <c r="K86" s="15">
        <v>52287</v>
      </c>
      <c r="M86" s="6">
        <v>68.077464788732385</v>
      </c>
      <c r="O86" s="4" t="str">
        <f t="shared" si="10"/>
        <v>Developing</v>
      </c>
      <c r="P86" s="24" t="str">
        <f t="shared" si="11"/>
        <v>0.02</v>
      </c>
      <c r="Q86" s="28">
        <f t="shared" si="12"/>
        <v>1045.74</v>
      </c>
      <c r="R86" s="4" t="s">
        <v>12</v>
      </c>
      <c r="S86" t="str">
        <f t="shared" si="13"/>
        <v>Active</v>
      </c>
    </row>
    <row r="87" spans="2:19" x14ac:dyDescent="0.35">
      <c r="B87" s="4" t="s">
        <v>184</v>
      </c>
      <c r="C87" s="4" t="s">
        <v>14</v>
      </c>
      <c r="D87" s="4" t="s">
        <v>19</v>
      </c>
      <c r="E87" s="4" t="s">
        <v>363</v>
      </c>
      <c r="F87" s="4" t="s">
        <v>11</v>
      </c>
      <c r="G87" s="8" t="str">
        <f t="shared" si="8"/>
        <v>IT02</v>
      </c>
      <c r="H87" s="8" t="str">
        <f>VLOOKUP(G:G,Lookup_Departments!A:B,2,0)</f>
        <v>Information Technology</v>
      </c>
      <c r="I87" s="12">
        <v>44073</v>
      </c>
      <c r="J87" s="6">
        <f t="shared" ca="1" si="9"/>
        <v>5</v>
      </c>
      <c r="K87" s="15">
        <v>82633</v>
      </c>
      <c r="M87" s="6">
        <v>68.077464788732385</v>
      </c>
      <c r="O87" s="4" t="str">
        <f t="shared" si="10"/>
        <v>Developing</v>
      </c>
      <c r="P87" s="24" t="str">
        <f t="shared" si="11"/>
        <v>0.02</v>
      </c>
      <c r="Q87" s="28">
        <f t="shared" si="12"/>
        <v>1652.66</v>
      </c>
      <c r="R87" s="4" t="s">
        <v>17</v>
      </c>
      <c r="S87" t="str">
        <f t="shared" si="13"/>
        <v>Active</v>
      </c>
    </row>
    <row r="88" spans="2:19" x14ac:dyDescent="0.35">
      <c r="B88" s="4" t="s">
        <v>185</v>
      </c>
      <c r="C88" s="4" t="s">
        <v>105</v>
      </c>
      <c r="D88" s="4" t="s">
        <v>135</v>
      </c>
      <c r="E88" s="4" t="s">
        <v>377</v>
      </c>
      <c r="F88" s="4" t="s">
        <v>37</v>
      </c>
      <c r="G88" s="8" t="str">
        <f t="shared" si="8"/>
        <v>OPS06</v>
      </c>
      <c r="H88" s="8" t="str">
        <f>VLOOKUP(G:G,Lookup_Departments!A:B,2,0)</f>
        <v>Operations</v>
      </c>
      <c r="I88" s="12">
        <v>44422</v>
      </c>
      <c r="J88" s="6">
        <f t="shared" ca="1" si="9"/>
        <v>4</v>
      </c>
      <c r="K88" s="15">
        <v>46508</v>
      </c>
      <c r="M88" s="6">
        <v>68.077464788732385</v>
      </c>
      <c r="O88" s="4" t="str">
        <f t="shared" si="10"/>
        <v>Developing</v>
      </c>
      <c r="P88" s="24" t="str">
        <f t="shared" si="11"/>
        <v>0.02</v>
      </c>
      <c r="Q88" s="28">
        <f t="shared" si="12"/>
        <v>930.16</v>
      </c>
      <c r="R88" s="4" t="s">
        <v>45</v>
      </c>
      <c r="S88" t="str">
        <f t="shared" si="13"/>
        <v>Active</v>
      </c>
    </row>
    <row r="89" spans="2:19" x14ac:dyDescent="0.35">
      <c r="B89" s="4" t="s">
        <v>186</v>
      </c>
      <c r="C89" s="4" t="s">
        <v>9</v>
      </c>
      <c r="D89" s="4" t="s">
        <v>19</v>
      </c>
      <c r="E89" s="4" t="s">
        <v>307</v>
      </c>
      <c r="F89" s="4" t="s">
        <v>138</v>
      </c>
      <c r="G89" s="8" t="str">
        <f t="shared" si="8"/>
        <v>HR01</v>
      </c>
      <c r="H89" s="8" t="str">
        <f>VLOOKUP(G:G,Lookup_Departments!A:B,2,0)</f>
        <v>Human Resources</v>
      </c>
      <c r="I89" s="12">
        <v>43796</v>
      </c>
      <c r="J89" s="6">
        <f t="shared" ca="1" si="9"/>
        <v>6</v>
      </c>
      <c r="K89" s="15">
        <v>86232</v>
      </c>
      <c r="M89" s="6">
        <v>68.077464788732385</v>
      </c>
      <c r="O89" s="4" t="str">
        <f t="shared" si="10"/>
        <v>Developing</v>
      </c>
      <c r="P89" s="24" t="str">
        <f t="shared" si="11"/>
        <v>0.02</v>
      </c>
      <c r="Q89" s="28">
        <f t="shared" si="12"/>
        <v>1724.64</v>
      </c>
      <c r="R89" s="4" t="s">
        <v>45</v>
      </c>
      <c r="S89" t="str">
        <f t="shared" si="13"/>
        <v>Active</v>
      </c>
    </row>
    <row r="90" spans="2:19" x14ac:dyDescent="0.35">
      <c r="B90" s="4" t="s">
        <v>188</v>
      </c>
      <c r="C90" s="4" t="s">
        <v>53</v>
      </c>
      <c r="D90" s="4" t="s">
        <v>64</v>
      </c>
      <c r="E90" s="4" t="s">
        <v>351</v>
      </c>
      <c r="F90" s="4" t="s">
        <v>84</v>
      </c>
      <c r="G90" s="8" t="str">
        <f t="shared" si="8"/>
        <v>IT02</v>
      </c>
      <c r="H90" s="8" t="str">
        <f>VLOOKUP(G:G,Lookup_Departments!A:B,2,0)</f>
        <v>Information Technology</v>
      </c>
      <c r="I90" s="12">
        <v>42880</v>
      </c>
      <c r="J90" s="6">
        <f t="shared" ca="1" si="9"/>
        <v>9</v>
      </c>
      <c r="K90" s="15">
        <v>77545</v>
      </c>
      <c r="M90" s="6">
        <v>68.077464788732385</v>
      </c>
      <c r="O90" s="4" t="str">
        <f t="shared" si="10"/>
        <v>Developing</v>
      </c>
      <c r="P90" s="24" t="str">
        <f t="shared" si="11"/>
        <v>0.02</v>
      </c>
      <c r="Q90" s="28">
        <f t="shared" si="12"/>
        <v>1550.9</v>
      </c>
      <c r="R90" s="4" t="s">
        <v>45</v>
      </c>
      <c r="S90" t="str">
        <f t="shared" si="13"/>
        <v>Active</v>
      </c>
    </row>
    <row r="91" spans="2:19" x14ac:dyDescent="0.35">
      <c r="B91" s="4" t="s">
        <v>191</v>
      </c>
      <c r="C91" s="4" t="s">
        <v>160</v>
      </c>
      <c r="D91" s="4" t="s">
        <v>19</v>
      </c>
      <c r="E91" s="4" t="s">
        <v>378</v>
      </c>
      <c r="F91" s="4" t="s">
        <v>37</v>
      </c>
      <c r="G91" s="8" t="str">
        <f t="shared" si="8"/>
        <v>OPS06</v>
      </c>
      <c r="H91" s="8" t="str">
        <f>VLOOKUP(G:G,Lookup_Departments!A:B,2,0)</f>
        <v>Operations</v>
      </c>
      <c r="I91" s="12">
        <v>43436</v>
      </c>
      <c r="J91" s="6">
        <f t="shared" ca="1" si="9"/>
        <v>7</v>
      </c>
      <c r="K91" s="15">
        <v>68683</v>
      </c>
      <c r="M91" s="6">
        <v>68.077464788732385</v>
      </c>
      <c r="O91" s="4" t="str">
        <f t="shared" si="10"/>
        <v>Developing</v>
      </c>
      <c r="P91" s="24" t="str">
        <f t="shared" si="11"/>
        <v>0.02</v>
      </c>
      <c r="Q91" s="28">
        <f t="shared" si="12"/>
        <v>1373.66</v>
      </c>
      <c r="R91" s="4" t="s">
        <v>45</v>
      </c>
      <c r="S91" t="str">
        <f t="shared" si="13"/>
        <v>Active</v>
      </c>
    </row>
    <row r="92" spans="2:19" x14ac:dyDescent="0.35">
      <c r="B92" s="4" t="s">
        <v>192</v>
      </c>
      <c r="C92" s="4" t="s">
        <v>28</v>
      </c>
      <c r="D92" s="4" t="s">
        <v>60</v>
      </c>
      <c r="E92" s="4" t="s">
        <v>361</v>
      </c>
      <c r="F92" s="4" t="s">
        <v>26</v>
      </c>
      <c r="G92" s="8" t="str">
        <f t="shared" si="8"/>
        <v>FIN03</v>
      </c>
      <c r="H92" s="8" t="str">
        <f>VLOOKUP(G:G,Lookup_Departments!A:B,2,0)</f>
        <v>Finance</v>
      </c>
      <c r="I92" s="12">
        <v>43639</v>
      </c>
      <c r="J92" s="6">
        <f t="shared" ca="1" si="9"/>
        <v>7</v>
      </c>
      <c r="K92" s="15">
        <v>83932</v>
      </c>
      <c r="M92" s="6">
        <v>68.077464788732385</v>
      </c>
      <c r="O92" s="4" t="str">
        <f t="shared" si="10"/>
        <v>Developing</v>
      </c>
      <c r="P92" s="24" t="str">
        <f t="shared" si="11"/>
        <v>0.02</v>
      </c>
      <c r="Q92" s="28">
        <f t="shared" si="12"/>
        <v>1678.64</v>
      </c>
      <c r="R92" s="4" t="s">
        <v>22</v>
      </c>
      <c r="S92" t="str">
        <f t="shared" si="13"/>
        <v>Left</v>
      </c>
    </row>
    <row r="93" spans="2:19" x14ac:dyDescent="0.35">
      <c r="B93" s="4" t="s">
        <v>193</v>
      </c>
      <c r="C93" s="4" t="s">
        <v>39</v>
      </c>
      <c r="D93" s="4" t="s">
        <v>135</v>
      </c>
      <c r="E93" s="4" t="s">
        <v>379</v>
      </c>
      <c r="F93" s="4" t="s">
        <v>97</v>
      </c>
      <c r="G93" s="8" t="str">
        <f t="shared" si="8"/>
        <v>HR01</v>
      </c>
      <c r="H93" s="8" t="str">
        <f>VLOOKUP(G:G,Lookup_Departments!A:B,2,0)</f>
        <v>Human Resources</v>
      </c>
      <c r="I93" s="12">
        <v>42304</v>
      </c>
      <c r="J93" s="6">
        <f t="shared" ca="1" si="9"/>
        <v>10</v>
      </c>
      <c r="K93" s="15">
        <v>56073</v>
      </c>
      <c r="M93" s="6">
        <v>68.077464788732385</v>
      </c>
      <c r="O93" s="4" t="str">
        <f t="shared" si="10"/>
        <v>Developing</v>
      </c>
      <c r="P93" s="24" t="str">
        <f t="shared" si="11"/>
        <v>0.02</v>
      </c>
      <c r="Q93" s="28">
        <f t="shared" si="12"/>
        <v>1121.46</v>
      </c>
      <c r="R93" s="4" t="s">
        <v>45</v>
      </c>
      <c r="S93" t="str">
        <f t="shared" si="13"/>
        <v>Active</v>
      </c>
    </row>
    <row r="94" spans="2:19" x14ac:dyDescent="0.35">
      <c r="B94" s="4" t="s">
        <v>194</v>
      </c>
      <c r="C94" s="4" t="s">
        <v>105</v>
      </c>
      <c r="D94" s="4" t="s">
        <v>32</v>
      </c>
      <c r="E94" s="4" t="s">
        <v>347</v>
      </c>
      <c r="F94" s="4" t="s">
        <v>20</v>
      </c>
      <c r="G94" s="8" t="str">
        <f t="shared" si="8"/>
        <v>IT02</v>
      </c>
      <c r="H94" s="8" t="str">
        <f>VLOOKUP(G:G,Lookup_Departments!A:B,2,0)</f>
        <v>Information Technology</v>
      </c>
      <c r="I94" s="12">
        <v>43270</v>
      </c>
      <c r="J94" s="6">
        <f t="shared" ca="1" si="9"/>
        <v>8</v>
      </c>
      <c r="K94" s="15">
        <v>88056</v>
      </c>
      <c r="M94" s="6">
        <v>68.077464788732385</v>
      </c>
      <c r="O94" s="4" t="str">
        <f t="shared" si="10"/>
        <v>Developing</v>
      </c>
      <c r="P94" s="24" t="str">
        <f t="shared" si="11"/>
        <v>0.02</v>
      </c>
      <c r="Q94" s="28">
        <f t="shared" si="12"/>
        <v>1761.1200000000001</v>
      </c>
      <c r="R94" s="4" t="s">
        <v>45</v>
      </c>
      <c r="S94" t="str">
        <f t="shared" si="13"/>
        <v>Active</v>
      </c>
    </row>
    <row r="95" spans="2:19" x14ac:dyDescent="0.35">
      <c r="B95" s="4" t="s">
        <v>196</v>
      </c>
      <c r="C95" s="4" t="s">
        <v>28</v>
      </c>
      <c r="D95" s="4" t="s">
        <v>47</v>
      </c>
      <c r="E95" s="4" t="s">
        <v>380</v>
      </c>
      <c r="F95" s="4" t="s">
        <v>165</v>
      </c>
      <c r="G95" s="8" t="str">
        <f t="shared" si="8"/>
        <v>OPS06</v>
      </c>
      <c r="H95" s="8" t="str">
        <f>VLOOKUP(G:G,Lookup_Departments!A:B,2,0)</f>
        <v>Operations</v>
      </c>
      <c r="I95" s="12">
        <v>43112</v>
      </c>
      <c r="J95" s="6">
        <f t="shared" ca="1" si="9"/>
        <v>8</v>
      </c>
      <c r="K95" s="15">
        <v>67414</v>
      </c>
      <c r="M95" s="6">
        <v>68.077464788732385</v>
      </c>
      <c r="O95" s="4" t="str">
        <f t="shared" si="10"/>
        <v>Developing</v>
      </c>
      <c r="P95" s="24" t="str">
        <f t="shared" si="11"/>
        <v>0.02</v>
      </c>
      <c r="Q95" s="28">
        <f t="shared" si="12"/>
        <v>1348.28</v>
      </c>
      <c r="R95" s="4" t="s">
        <v>30</v>
      </c>
      <c r="S95" t="str">
        <f t="shared" si="13"/>
        <v>Left</v>
      </c>
    </row>
    <row r="96" spans="2:19" x14ac:dyDescent="0.35">
      <c r="B96" s="4" t="s">
        <v>197</v>
      </c>
      <c r="C96" s="4" t="s">
        <v>160</v>
      </c>
      <c r="D96" s="4" t="s">
        <v>19</v>
      </c>
      <c r="E96" s="4" t="s">
        <v>378</v>
      </c>
      <c r="F96" s="4" t="s">
        <v>44</v>
      </c>
      <c r="G96" s="8" t="str">
        <f t="shared" si="8"/>
        <v>SAL05</v>
      </c>
      <c r="H96" s="8" t="str">
        <f>VLOOKUP(G:G,Lookup_Departments!A:B,2,0)</f>
        <v>Sales</v>
      </c>
      <c r="I96" s="12">
        <v>42008</v>
      </c>
      <c r="J96" s="6">
        <f t="shared" ca="1" si="9"/>
        <v>11</v>
      </c>
      <c r="K96" s="15">
        <v>115288</v>
      </c>
      <c r="M96" s="6">
        <v>68.077464788732385</v>
      </c>
      <c r="O96" s="4" t="str">
        <f t="shared" si="10"/>
        <v>Developing</v>
      </c>
      <c r="P96" s="24" t="str">
        <f t="shared" si="11"/>
        <v>0.02</v>
      </c>
      <c r="Q96" s="28">
        <f t="shared" si="12"/>
        <v>2305.7600000000002</v>
      </c>
      <c r="R96" s="4" t="s">
        <v>45</v>
      </c>
      <c r="S96" t="str">
        <f t="shared" si="13"/>
        <v>Active</v>
      </c>
    </row>
    <row r="97" spans="2:19" x14ac:dyDescent="0.35">
      <c r="B97" s="4" t="s">
        <v>199</v>
      </c>
      <c r="C97" s="4" t="s">
        <v>29</v>
      </c>
      <c r="D97" s="4" t="s">
        <v>29</v>
      </c>
      <c r="E97" s="4" t="s">
        <v>381</v>
      </c>
      <c r="F97" s="4" t="s">
        <v>44</v>
      </c>
      <c r="G97" s="8" t="str">
        <f t="shared" si="8"/>
        <v>SAL05</v>
      </c>
      <c r="H97" s="8" t="str">
        <f>VLOOKUP(G:G,Lookup_Departments!A:B,2,0)</f>
        <v>Sales</v>
      </c>
      <c r="I97" s="12">
        <v>43439</v>
      </c>
      <c r="J97" s="6">
        <f t="shared" ca="1" si="9"/>
        <v>7</v>
      </c>
      <c r="K97" s="15">
        <v>80140</v>
      </c>
      <c r="M97" s="6">
        <v>68.077464788732385</v>
      </c>
      <c r="O97" s="4" t="str">
        <f t="shared" si="10"/>
        <v>Developing</v>
      </c>
      <c r="P97" s="24" t="str">
        <f t="shared" si="11"/>
        <v>0.02</v>
      </c>
      <c r="Q97" s="28">
        <f t="shared" si="12"/>
        <v>1602.8</v>
      </c>
      <c r="R97" s="4" t="s">
        <v>45</v>
      </c>
      <c r="S97" t="str">
        <f t="shared" si="13"/>
        <v>Active</v>
      </c>
    </row>
    <row r="98" spans="2:19" x14ac:dyDescent="0.35">
      <c r="B98" s="4" t="s">
        <v>200</v>
      </c>
      <c r="C98" s="4" t="s">
        <v>24</v>
      </c>
      <c r="D98" s="4" t="s">
        <v>32</v>
      </c>
      <c r="E98" s="4" t="s">
        <v>376</v>
      </c>
      <c r="F98" s="4" t="s">
        <v>11</v>
      </c>
      <c r="G98" s="8" t="str">
        <f t="shared" si="8"/>
        <v>IT02</v>
      </c>
      <c r="H98" s="8" t="str">
        <f>VLOOKUP(G:G,Lookup_Departments!A:B,2,0)</f>
        <v>Information Technology</v>
      </c>
      <c r="I98" s="12">
        <v>44482</v>
      </c>
      <c r="J98" s="6">
        <f t="shared" ca="1" si="9"/>
        <v>4</v>
      </c>
      <c r="K98" s="15">
        <v>73087</v>
      </c>
      <c r="M98" s="6">
        <v>68.077464788732385</v>
      </c>
      <c r="O98" s="4" t="str">
        <f t="shared" si="10"/>
        <v>Developing</v>
      </c>
      <c r="P98" s="24" t="str">
        <f t="shared" si="11"/>
        <v>0.02</v>
      </c>
      <c r="Q98" s="28">
        <f t="shared" si="12"/>
        <v>1461.74</v>
      </c>
      <c r="R98" s="4" t="s">
        <v>45</v>
      </c>
      <c r="S98" t="str">
        <f t="shared" si="13"/>
        <v>Active</v>
      </c>
    </row>
    <row r="99" spans="2:19" x14ac:dyDescent="0.35">
      <c r="B99" s="4" t="s">
        <v>201</v>
      </c>
      <c r="C99" s="4" t="s">
        <v>53</v>
      </c>
      <c r="D99" s="4" t="s">
        <v>32</v>
      </c>
      <c r="E99" s="4" t="s">
        <v>382</v>
      </c>
      <c r="F99" s="4" t="s">
        <v>79</v>
      </c>
      <c r="G99" s="8" t="str">
        <f t="shared" si="8"/>
        <v>SAL05</v>
      </c>
      <c r="H99" s="8" t="str">
        <f>VLOOKUP(G:G,Lookup_Departments!A:B,2,0)</f>
        <v>Sales</v>
      </c>
      <c r="I99" s="12">
        <v>44081</v>
      </c>
      <c r="J99" s="6">
        <f t="shared" ca="1" si="9"/>
        <v>5</v>
      </c>
      <c r="K99" s="15">
        <v>95292</v>
      </c>
      <c r="M99" s="6">
        <v>68.077464788732385</v>
      </c>
      <c r="O99" s="4" t="str">
        <f t="shared" si="10"/>
        <v>Developing</v>
      </c>
      <c r="P99" s="24" t="str">
        <f t="shared" si="11"/>
        <v>0.02</v>
      </c>
      <c r="Q99" s="28">
        <f t="shared" si="12"/>
        <v>1905.8400000000001</v>
      </c>
      <c r="R99" s="4" t="s">
        <v>12</v>
      </c>
      <c r="S99" t="str">
        <f t="shared" si="13"/>
        <v>Active</v>
      </c>
    </row>
    <row r="100" spans="2:19" x14ac:dyDescent="0.35">
      <c r="B100" s="4" t="s">
        <v>202</v>
      </c>
      <c r="C100" s="4" t="s">
        <v>24</v>
      </c>
      <c r="D100" s="4" t="s">
        <v>60</v>
      </c>
      <c r="E100" s="4" t="s">
        <v>383</v>
      </c>
      <c r="F100" s="4" t="s">
        <v>20</v>
      </c>
      <c r="G100" s="8" t="str">
        <f t="shared" si="8"/>
        <v>IT02</v>
      </c>
      <c r="H100" s="8" t="str">
        <f>VLOOKUP(G:G,Lookup_Departments!A:B,2,0)</f>
        <v>Information Technology</v>
      </c>
      <c r="I100" s="12">
        <v>43532</v>
      </c>
      <c r="J100" s="6">
        <f t="shared" ca="1" si="9"/>
        <v>7</v>
      </c>
      <c r="K100" s="15">
        <v>83603.930769230763</v>
      </c>
      <c r="M100" s="6">
        <v>68.077464788732385</v>
      </c>
      <c r="O100" s="4" t="str">
        <f t="shared" si="10"/>
        <v>Developing</v>
      </c>
      <c r="P100" s="24" t="str">
        <f t="shared" si="11"/>
        <v>0.02</v>
      </c>
      <c r="Q100" s="28">
        <f t="shared" si="12"/>
        <v>1672.0786153846152</v>
      </c>
      <c r="R100" s="4" t="s">
        <v>12</v>
      </c>
      <c r="S100" t="str">
        <f t="shared" si="13"/>
        <v>Active</v>
      </c>
    </row>
    <row r="101" spans="2:19" x14ac:dyDescent="0.35">
      <c r="B101" s="4" t="s">
        <v>204</v>
      </c>
      <c r="C101" s="4" t="s">
        <v>53</v>
      </c>
      <c r="D101" s="4" t="s">
        <v>69</v>
      </c>
      <c r="E101" s="4" t="s">
        <v>384</v>
      </c>
      <c r="F101" s="4" t="s">
        <v>16</v>
      </c>
      <c r="G101" s="8" t="str">
        <f t="shared" si="8"/>
        <v>MKT04</v>
      </c>
      <c r="H101" s="8" t="str">
        <f>VLOOKUP(G:G,Lookup_Departments!A:B,2,0)</f>
        <v>Marketing</v>
      </c>
      <c r="I101" s="12">
        <v>42074</v>
      </c>
      <c r="J101" s="6">
        <f t="shared" ca="1" si="9"/>
        <v>11</v>
      </c>
      <c r="K101" s="15">
        <v>101750</v>
      </c>
      <c r="M101" s="6">
        <v>68.077464788732385</v>
      </c>
      <c r="O101" s="4" t="str">
        <f t="shared" si="10"/>
        <v>Developing</v>
      </c>
      <c r="P101" s="24" t="str">
        <f t="shared" si="11"/>
        <v>0.02</v>
      </c>
      <c r="Q101" s="28">
        <f t="shared" si="12"/>
        <v>2035</v>
      </c>
      <c r="R101" s="4" t="s">
        <v>108</v>
      </c>
      <c r="S101" t="str">
        <f t="shared" si="13"/>
        <v>Left</v>
      </c>
    </row>
    <row r="102" spans="2:19" x14ac:dyDescent="0.35">
      <c r="B102" s="4" t="s">
        <v>206</v>
      </c>
      <c r="C102" s="4" t="s">
        <v>105</v>
      </c>
      <c r="D102" s="4" t="s">
        <v>19</v>
      </c>
      <c r="E102" s="4" t="s">
        <v>385</v>
      </c>
      <c r="F102" s="4" t="s">
        <v>55</v>
      </c>
      <c r="G102" s="8" t="str">
        <f t="shared" si="8"/>
        <v>MKT04</v>
      </c>
      <c r="H102" s="8" t="str">
        <f>VLOOKUP(G:G,Lookup_Departments!A:B,2,0)</f>
        <v>Marketing</v>
      </c>
      <c r="I102" s="12">
        <v>42785</v>
      </c>
      <c r="J102" s="6">
        <f t="shared" ca="1" si="9"/>
        <v>9</v>
      </c>
      <c r="K102" s="15">
        <v>82992</v>
      </c>
      <c r="M102" s="6">
        <v>68.077464788732385</v>
      </c>
      <c r="O102" s="4" t="str">
        <f t="shared" si="10"/>
        <v>Developing</v>
      </c>
      <c r="P102" s="24" t="str">
        <f t="shared" si="11"/>
        <v>0.02</v>
      </c>
      <c r="Q102" s="28">
        <f t="shared" si="12"/>
        <v>1659.8400000000001</v>
      </c>
      <c r="R102" s="4" t="s">
        <v>45</v>
      </c>
      <c r="S102" t="str">
        <f t="shared" si="13"/>
        <v>Active</v>
      </c>
    </row>
    <row r="103" spans="2:19" x14ac:dyDescent="0.35">
      <c r="B103" s="4" t="s">
        <v>208</v>
      </c>
      <c r="C103" s="4" t="s">
        <v>160</v>
      </c>
      <c r="D103" s="4" t="s">
        <v>64</v>
      </c>
      <c r="E103" s="4" t="s">
        <v>386</v>
      </c>
      <c r="F103" s="4" t="s">
        <v>11</v>
      </c>
      <c r="G103" s="8" t="str">
        <f t="shared" si="8"/>
        <v>IT02</v>
      </c>
      <c r="H103" s="8" t="str">
        <f>VLOOKUP(G:G,Lookup_Departments!A:B,2,0)</f>
        <v>Information Technology</v>
      </c>
      <c r="I103" s="12">
        <v>45055</v>
      </c>
      <c r="J103" s="6">
        <f t="shared" ca="1" si="9"/>
        <v>3</v>
      </c>
      <c r="K103" s="15">
        <v>49942</v>
      </c>
      <c r="M103" s="6">
        <v>68.077464788732385</v>
      </c>
      <c r="O103" s="4" t="str">
        <f t="shared" si="10"/>
        <v>Developing</v>
      </c>
      <c r="P103" s="24" t="str">
        <f t="shared" si="11"/>
        <v>0.02</v>
      </c>
      <c r="Q103" s="28">
        <f t="shared" si="12"/>
        <v>998.84</v>
      </c>
      <c r="R103" s="4" t="s">
        <v>12</v>
      </c>
      <c r="S103" t="str">
        <f t="shared" si="13"/>
        <v>Active</v>
      </c>
    </row>
    <row r="104" spans="2:19" x14ac:dyDescent="0.35">
      <c r="B104" s="4" t="s">
        <v>210</v>
      </c>
      <c r="C104" s="4" t="s">
        <v>24</v>
      </c>
      <c r="D104" s="4" t="s">
        <v>29</v>
      </c>
      <c r="E104" s="4" t="s">
        <v>387</v>
      </c>
      <c r="F104" s="4" t="s">
        <v>37</v>
      </c>
      <c r="G104" s="8" t="str">
        <f t="shared" si="8"/>
        <v>OPS06</v>
      </c>
      <c r="H104" s="8" t="str">
        <f>VLOOKUP(G:G,Lookup_Departments!A:B,2,0)</f>
        <v>Operations</v>
      </c>
      <c r="I104" s="12">
        <v>43122</v>
      </c>
      <c r="J104" s="6">
        <f t="shared" ca="1" si="9"/>
        <v>8</v>
      </c>
      <c r="K104" s="15">
        <v>89060</v>
      </c>
      <c r="M104" s="6">
        <v>68.077464788732385</v>
      </c>
      <c r="O104" s="4" t="str">
        <f t="shared" si="10"/>
        <v>Developing</v>
      </c>
      <c r="P104" s="24" t="str">
        <f t="shared" si="11"/>
        <v>0.02</v>
      </c>
      <c r="Q104" s="28">
        <f t="shared" si="12"/>
        <v>1781.2</v>
      </c>
      <c r="R104" s="4" t="s">
        <v>12</v>
      </c>
      <c r="S104" t="str">
        <f t="shared" si="13"/>
        <v>Active</v>
      </c>
    </row>
    <row r="105" spans="2:19" x14ac:dyDescent="0.35">
      <c r="B105" s="4" t="s">
        <v>211</v>
      </c>
      <c r="C105" s="4" t="s">
        <v>66</v>
      </c>
      <c r="D105" s="4" t="s">
        <v>19</v>
      </c>
      <c r="E105" s="4" t="s">
        <v>367</v>
      </c>
      <c r="F105" s="4" t="s">
        <v>11</v>
      </c>
      <c r="G105" s="8" t="str">
        <f t="shared" si="8"/>
        <v>IT02</v>
      </c>
      <c r="H105" s="8" t="str">
        <f>VLOOKUP(G:G,Lookup_Departments!A:B,2,0)</f>
        <v>Information Technology</v>
      </c>
      <c r="I105" s="12">
        <v>43879</v>
      </c>
      <c r="J105" s="6">
        <f t="shared" ca="1" si="9"/>
        <v>6</v>
      </c>
      <c r="K105" s="15">
        <v>53786</v>
      </c>
      <c r="M105" s="6">
        <v>68.077464788732385</v>
      </c>
      <c r="O105" s="4" t="str">
        <f t="shared" si="10"/>
        <v>Developing</v>
      </c>
      <c r="P105" s="24" t="str">
        <f t="shared" si="11"/>
        <v>0.02</v>
      </c>
      <c r="Q105" s="28">
        <f t="shared" si="12"/>
        <v>1075.72</v>
      </c>
      <c r="R105" s="4" t="s">
        <v>45</v>
      </c>
      <c r="S105" t="str">
        <f t="shared" si="13"/>
        <v>Active</v>
      </c>
    </row>
    <row r="106" spans="2:19" x14ac:dyDescent="0.35">
      <c r="B106" s="4" t="s">
        <v>212</v>
      </c>
      <c r="C106" s="4" t="s">
        <v>9</v>
      </c>
      <c r="D106" s="4" t="s">
        <v>32</v>
      </c>
      <c r="E106" s="4" t="s">
        <v>310</v>
      </c>
      <c r="F106" s="4" t="s">
        <v>33</v>
      </c>
      <c r="G106" s="8" t="str">
        <f t="shared" si="8"/>
        <v>OPS06</v>
      </c>
      <c r="H106" s="8" t="str">
        <f>VLOOKUP(G:G,Lookup_Departments!A:B,2,0)</f>
        <v>Operations</v>
      </c>
      <c r="I106" s="12">
        <v>42512</v>
      </c>
      <c r="J106" s="6">
        <f t="shared" ca="1" si="9"/>
        <v>10</v>
      </c>
      <c r="K106" s="15">
        <v>81167</v>
      </c>
      <c r="M106" s="6">
        <v>68.077464788732385</v>
      </c>
      <c r="O106" s="4" t="str">
        <f t="shared" si="10"/>
        <v>Developing</v>
      </c>
      <c r="P106" s="24" t="str">
        <f t="shared" si="11"/>
        <v>0.02</v>
      </c>
      <c r="Q106" s="28">
        <f t="shared" si="12"/>
        <v>1623.3400000000001</v>
      </c>
      <c r="R106" s="4" t="s">
        <v>45</v>
      </c>
      <c r="S106" t="str">
        <f t="shared" si="13"/>
        <v>Active</v>
      </c>
    </row>
    <row r="107" spans="2:19" x14ac:dyDescent="0.35">
      <c r="B107" s="4" t="s">
        <v>214</v>
      </c>
      <c r="C107" s="4" t="s">
        <v>160</v>
      </c>
      <c r="D107" s="4" t="s">
        <v>54</v>
      </c>
      <c r="E107" s="4" t="s">
        <v>388</v>
      </c>
      <c r="F107" s="4" t="s">
        <v>16</v>
      </c>
      <c r="G107" s="8" t="str">
        <f t="shared" si="8"/>
        <v>MKT04</v>
      </c>
      <c r="H107" s="8" t="str">
        <f>VLOOKUP(G:G,Lookup_Departments!A:B,2,0)</f>
        <v>Marketing</v>
      </c>
      <c r="I107" s="12">
        <v>44349</v>
      </c>
      <c r="J107" s="6">
        <f t="shared" ca="1" si="9"/>
        <v>5</v>
      </c>
      <c r="K107" s="15">
        <v>66688</v>
      </c>
      <c r="M107" s="6">
        <v>40</v>
      </c>
      <c r="O107" s="4" t="str">
        <f t="shared" si="10"/>
        <v>Needs Improvement</v>
      </c>
      <c r="P107" s="24" t="str">
        <f t="shared" si="11"/>
        <v>0</v>
      </c>
      <c r="Q107" s="28">
        <f t="shared" si="12"/>
        <v>0</v>
      </c>
      <c r="R107" s="4" t="s">
        <v>108</v>
      </c>
      <c r="S107" t="str">
        <f t="shared" si="13"/>
        <v>Left</v>
      </c>
    </row>
    <row r="108" spans="2:19" x14ac:dyDescent="0.35">
      <c r="B108" s="4" t="s">
        <v>215</v>
      </c>
      <c r="C108" s="4" t="s">
        <v>66</v>
      </c>
      <c r="D108" s="4" t="s">
        <v>60</v>
      </c>
      <c r="E108" s="4" t="s">
        <v>389</v>
      </c>
      <c r="F108" s="4" t="s">
        <v>11</v>
      </c>
      <c r="G108" s="8" t="str">
        <f t="shared" si="8"/>
        <v>IT02</v>
      </c>
      <c r="H108" s="8" t="str">
        <f>VLOOKUP(G:G,Lookup_Departments!A:B,2,0)</f>
        <v>Information Technology</v>
      </c>
      <c r="I108" s="12">
        <v>44394</v>
      </c>
      <c r="J108" s="6">
        <f t="shared" ca="1" si="9"/>
        <v>4</v>
      </c>
      <c r="K108" s="15">
        <v>91672</v>
      </c>
      <c r="M108" s="6">
        <v>88</v>
      </c>
      <c r="O108" s="4" t="str">
        <f t="shared" si="10"/>
        <v>Exceeding</v>
      </c>
      <c r="P108" s="24" t="str">
        <f t="shared" si="11"/>
        <v>0.08</v>
      </c>
      <c r="Q108" s="28">
        <f t="shared" si="12"/>
        <v>7333.76</v>
      </c>
      <c r="R108" s="4" t="s">
        <v>17</v>
      </c>
      <c r="S108" t="str">
        <f t="shared" si="13"/>
        <v>Active</v>
      </c>
    </row>
    <row r="109" spans="2:19" x14ac:dyDescent="0.35">
      <c r="B109" s="4" t="s">
        <v>216</v>
      </c>
      <c r="C109" s="4" t="s">
        <v>39</v>
      </c>
      <c r="D109" s="4" t="s">
        <v>19</v>
      </c>
      <c r="E109" s="4" t="s">
        <v>390</v>
      </c>
      <c r="F109" s="4" t="s">
        <v>157</v>
      </c>
      <c r="G109" s="8" t="str">
        <f t="shared" si="8"/>
        <v>HR01</v>
      </c>
      <c r="H109" s="8" t="str">
        <f>VLOOKUP(G:G,Lookup_Departments!A:B,2,0)</f>
        <v>Human Resources</v>
      </c>
      <c r="I109" s="12">
        <v>42687</v>
      </c>
      <c r="J109" s="6">
        <f t="shared" ca="1" si="9"/>
        <v>9</v>
      </c>
      <c r="K109" s="15">
        <v>77737</v>
      </c>
      <c r="M109" s="6">
        <v>77</v>
      </c>
      <c r="O109" s="4" t="str">
        <f t="shared" si="10"/>
        <v>Achieving</v>
      </c>
      <c r="P109" s="24" t="str">
        <f t="shared" si="11"/>
        <v>0.05</v>
      </c>
      <c r="Q109" s="28">
        <f t="shared" si="12"/>
        <v>3886.8500000000004</v>
      </c>
      <c r="R109" s="4" t="s">
        <v>12</v>
      </c>
      <c r="S109" t="str">
        <f t="shared" si="13"/>
        <v>Active</v>
      </c>
    </row>
    <row r="110" spans="2:19" x14ac:dyDescent="0.35">
      <c r="B110" s="4" t="s">
        <v>219</v>
      </c>
      <c r="C110" s="4" t="s">
        <v>94</v>
      </c>
      <c r="D110" s="4" t="s">
        <v>47</v>
      </c>
      <c r="E110" s="4" t="s">
        <v>340</v>
      </c>
      <c r="F110" s="4" t="s">
        <v>79</v>
      </c>
      <c r="G110" s="8" t="str">
        <f t="shared" si="8"/>
        <v>SAL05</v>
      </c>
      <c r="H110" s="8" t="str">
        <f>VLOOKUP(G:G,Lookup_Departments!A:B,2,0)</f>
        <v>Sales</v>
      </c>
      <c r="I110" s="12">
        <v>43513</v>
      </c>
      <c r="J110" s="6">
        <f t="shared" ca="1" si="9"/>
        <v>7</v>
      </c>
      <c r="K110" s="15">
        <v>95686</v>
      </c>
      <c r="M110" s="6">
        <v>91</v>
      </c>
      <c r="O110" s="4" t="str">
        <f t="shared" si="10"/>
        <v>Exceeding</v>
      </c>
      <c r="P110" s="24" t="str">
        <f t="shared" si="11"/>
        <v>0.08</v>
      </c>
      <c r="Q110" s="28">
        <f t="shared" si="12"/>
        <v>7654.88</v>
      </c>
      <c r="R110" s="4" t="s">
        <v>12</v>
      </c>
      <c r="S110" t="str">
        <f t="shared" si="13"/>
        <v>Active</v>
      </c>
    </row>
    <row r="111" spans="2:19" x14ac:dyDescent="0.35">
      <c r="B111" s="4" t="s">
        <v>221</v>
      </c>
      <c r="C111" s="4" t="s">
        <v>39</v>
      </c>
      <c r="D111" s="4" t="s">
        <v>29</v>
      </c>
      <c r="E111" s="4" t="s">
        <v>312</v>
      </c>
      <c r="F111" s="4" t="s">
        <v>44</v>
      </c>
      <c r="G111" s="8" t="str">
        <f t="shared" si="8"/>
        <v>SAL05</v>
      </c>
      <c r="H111" s="8" t="str">
        <f>VLOOKUP(G:G,Lookup_Departments!A:B,2,0)</f>
        <v>Sales</v>
      </c>
      <c r="I111" s="12">
        <v>42625</v>
      </c>
      <c r="J111" s="6">
        <f t="shared" ca="1" si="9"/>
        <v>9</v>
      </c>
      <c r="K111" s="15">
        <v>114681</v>
      </c>
      <c r="M111" s="6">
        <v>36</v>
      </c>
      <c r="O111" s="4" t="str">
        <f t="shared" si="10"/>
        <v>Needs Improvement</v>
      </c>
      <c r="P111" s="24" t="str">
        <f t="shared" si="11"/>
        <v>0</v>
      </c>
      <c r="Q111" s="28">
        <f t="shared" si="12"/>
        <v>0</v>
      </c>
      <c r="R111" s="4" t="s">
        <v>17</v>
      </c>
      <c r="S111" t="str">
        <f t="shared" si="13"/>
        <v>Active</v>
      </c>
    </row>
    <row r="112" spans="2:19" x14ac:dyDescent="0.35">
      <c r="B112" s="4" t="s">
        <v>222</v>
      </c>
      <c r="C112" s="4" t="s">
        <v>28</v>
      </c>
      <c r="D112" s="4" t="s">
        <v>60</v>
      </c>
      <c r="E112" s="4" t="s">
        <v>361</v>
      </c>
      <c r="F112" s="4" t="s">
        <v>37</v>
      </c>
      <c r="G112" s="8" t="str">
        <f t="shared" si="8"/>
        <v>OPS06</v>
      </c>
      <c r="H112" s="8" t="str">
        <f>VLOOKUP(G:G,Lookup_Departments!A:B,2,0)</f>
        <v>Operations</v>
      </c>
      <c r="I112" s="12">
        <v>44421</v>
      </c>
      <c r="J112" s="6">
        <f t="shared" ca="1" si="9"/>
        <v>4</v>
      </c>
      <c r="K112" s="15">
        <v>109121</v>
      </c>
      <c r="M112" s="6">
        <v>72</v>
      </c>
      <c r="O112" s="4" t="str">
        <f t="shared" si="10"/>
        <v>Achieving</v>
      </c>
      <c r="P112" s="24" t="str">
        <f t="shared" si="11"/>
        <v>0.05</v>
      </c>
      <c r="Q112" s="28">
        <f t="shared" si="12"/>
        <v>5456.05</v>
      </c>
      <c r="R112" s="4" t="s">
        <v>45</v>
      </c>
      <c r="S112" t="str">
        <f t="shared" si="13"/>
        <v>Active</v>
      </c>
    </row>
    <row r="113" spans="2:19" x14ac:dyDescent="0.35">
      <c r="B113" s="4" t="s">
        <v>225</v>
      </c>
      <c r="C113" s="4" t="s">
        <v>71</v>
      </c>
      <c r="D113" s="4" t="s">
        <v>10</v>
      </c>
      <c r="E113" s="4" t="s">
        <v>391</v>
      </c>
      <c r="F113" s="4" t="s">
        <v>16</v>
      </c>
      <c r="G113" s="8" t="str">
        <f t="shared" si="8"/>
        <v>MKT04</v>
      </c>
      <c r="H113" s="8" t="str">
        <f>VLOOKUP(G:G,Lookup_Departments!A:B,2,0)</f>
        <v>Marketing</v>
      </c>
      <c r="I113" s="12">
        <v>43996</v>
      </c>
      <c r="J113" s="6">
        <f t="shared" ca="1" si="9"/>
        <v>6</v>
      </c>
      <c r="K113" s="15">
        <v>112791</v>
      </c>
      <c r="M113" s="6">
        <v>87</v>
      </c>
      <c r="O113" s="4" t="str">
        <f t="shared" si="10"/>
        <v>Exceeding</v>
      </c>
      <c r="P113" s="24" t="str">
        <f t="shared" si="11"/>
        <v>0.08</v>
      </c>
      <c r="Q113" s="28">
        <f t="shared" si="12"/>
        <v>9023.2800000000007</v>
      </c>
      <c r="R113" s="4" t="s">
        <v>12</v>
      </c>
      <c r="S113" t="str">
        <f t="shared" si="13"/>
        <v>Active</v>
      </c>
    </row>
    <row r="114" spans="2:19" x14ac:dyDescent="0.35">
      <c r="B114" s="4" t="s">
        <v>227</v>
      </c>
      <c r="C114" s="4" t="s">
        <v>59</v>
      </c>
      <c r="D114" s="4" t="s">
        <v>25</v>
      </c>
      <c r="E114" s="4" t="s">
        <v>392</v>
      </c>
      <c r="F114" s="4" t="s">
        <v>20</v>
      </c>
      <c r="G114" s="8" t="str">
        <f t="shared" si="8"/>
        <v>IT02</v>
      </c>
      <c r="H114" s="8" t="str">
        <f>VLOOKUP(G:G,Lookup_Departments!A:B,2,0)</f>
        <v>Information Technology</v>
      </c>
      <c r="I114" s="12">
        <v>44747</v>
      </c>
      <c r="J114" s="6">
        <f t="shared" ca="1" si="9"/>
        <v>4</v>
      </c>
      <c r="K114" s="15">
        <v>118008</v>
      </c>
      <c r="M114" s="6">
        <v>71</v>
      </c>
      <c r="O114" s="4" t="str">
        <f t="shared" si="10"/>
        <v>Achieving</v>
      </c>
      <c r="P114" s="24" t="str">
        <f t="shared" si="11"/>
        <v>0.05</v>
      </c>
      <c r="Q114" s="28">
        <f t="shared" si="12"/>
        <v>5900.4000000000005</v>
      </c>
      <c r="R114" s="4" t="s">
        <v>12</v>
      </c>
      <c r="S114" t="str">
        <f t="shared" si="13"/>
        <v>Active</v>
      </c>
    </row>
    <row r="115" spans="2:19" x14ac:dyDescent="0.35">
      <c r="B115" s="4" t="s">
        <v>229</v>
      </c>
      <c r="C115" s="4" t="s">
        <v>28</v>
      </c>
      <c r="D115" s="4" t="s">
        <v>47</v>
      </c>
      <c r="E115" s="4" t="s">
        <v>380</v>
      </c>
      <c r="F115" s="4" t="s">
        <v>11</v>
      </c>
      <c r="G115" s="8" t="str">
        <f t="shared" si="8"/>
        <v>IT02</v>
      </c>
      <c r="H115" s="8" t="str">
        <f>VLOOKUP(G:G,Lookup_Departments!A:B,2,0)</f>
        <v>Information Technology</v>
      </c>
      <c r="I115" s="12">
        <v>42561</v>
      </c>
      <c r="J115" s="6">
        <f t="shared" ca="1" si="9"/>
        <v>9</v>
      </c>
      <c r="K115" s="15">
        <v>74370</v>
      </c>
      <c r="M115" s="6">
        <v>82</v>
      </c>
      <c r="O115" s="4" t="str">
        <f t="shared" si="10"/>
        <v>Achieving</v>
      </c>
      <c r="P115" s="24" t="str">
        <f t="shared" si="11"/>
        <v>0.05</v>
      </c>
      <c r="Q115" s="28">
        <f t="shared" si="12"/>
        <v>3718.5</v>
      </c>
      <c r="R115" s="4" t="s">
        <v>45</v>
      </c>
      <c r="S115" t="str">
        <f t="shared" si="13"/>
        <v>Active</v>
      </c>
    </row>
    <row r="116" spans="2:19" x14ac:dyDescent="0.35">
      <c r="B116" s="4" t="s">
        <v>231</v>
      </c>
      <c r="C116" s="4" t="s">
        <v>113</v>
      </c>
      <c r="D116" s="4" t="s">
        <v>41</v>
      </c>
      <c r="E116" s="4" t="s">
        <v>393</v>
      </c>
      <c r="F116" s="4" t="s">
        <v>20</v>
      </c>
      <c r="G116" s="8" t="str">
        <f t="shared" si="8"/>
        <v>IT02</v>
      </c>
      <c r="H116" s="8" t="str">
        <f>VLOOKUP(G:G,Lookup_Departments!A:B,2,0)</f>
        <v>Information Technology</v>
      </c>
      <c r="I116" s="12">
        <v>44674</v>
      </c>
      <c r="J116" s="6">
        <f t="shared" ca="1" si="9"/>
        <v>4</v>
      </c>
      <c r="K116" s="15">
        <v>77819</v>
      </c>
      <c r="M116" s="6">
        <v>79</v>
      </c>
      <c r="O116" s="4" t="str">
        <f t="shared" si="10"/>
        <v>Achieving</v>
      </c>
      <c r="P116" s="24" t="str">
        <f t="shared" si="11"/>
        <v>0.05</v>
      </c>
      <c r="Q116" s="28">
        <f t="shared" si="12"/>
        <v>3890.9500000000003</v>
      </c>
      <c r="R116" s="4" t="s">
        <v>17</v>
      </c>
      <c r="S116" t="str">
        <f t="shared" si="13"/>
        <v>Active</v>
      </c>
    </row>
    <row r="117" spans="2:19" x14ac:dyDescent="0.35">
      <c r="B117" s="4" t="s">
        <v>232</v>
      </c>
      <c r="C117" s="4" t="s">
        <v>53</v>
      </c>
      <c r="D117" s="4" t="s">
        <v>47</v>
      </c>
      <c r="E117" s="4" t="s">
        <v>318</v>
      </c>
      <c r="F117" s="4" t="s">
        <v>61</v>
      </c>
      <c r="G117" s="8" t="str">
        <f t="shared" si="8"/>
        <v>MKT04</v>
      </c>
      <c r="H117" s="8" t="str">
        <f>VLOOKUP(G:G,Lookup_Departments!A:B,2,0)</f>
        <v>Marketing</v>
      </c>
      <c r="I117" s="12">
        <v>42865</v>
      </c>
      <c r="J117" s="6">
        <f t="shared" ca="1" si="9"/>
        <v>9</v>
      </c>
      <c r="K117" s="15">
        <v>48748</v>
      </c>
      <c r="M117" s="6">
        <v>83</v>
      </c>
      <c r="O117" s="4" t="str">
        <f t="shared" si="10"/>
        <v>Achieving</v>
      </c>
      <c r="P117" s="24" t="str">
        <f t="shared" si="11"/>
        <v>0.05</v>
      </c>
      <c r="Q117" s="28">
        <f t="shared" si="12"/>
        <v>2437.4</v>
      </c>
      <c r="R117" s="4" t="s">
        <v>45</v>
      </c>
      <c r="S117" t="str">
        <f t="shared" si="13"/>
        <v>Active</v>
      </c>
    </row>
    <row r="118" spans="2:19" x14ac:dyDescent="0.35">
      <c r="B118" s="4" t="s">
        <v>234</v>
      </c>
      <c r="C118" s="4" t="s">
        <v>66</v>
      </c>
      <c r="D118" s="4" t="s">
        <v>41</v>
      </c>
      <c r="E118" s="4" t="s">
        <v>394</v>
      </c>
      <c r="F118" s="4" t="s">
        <v>33</v>
      </c>
      <c r="G118" s="8" t="str">
        <f t="shared" si="8"/>
        <v>OPS06</v>
      </c>
      <c r="H118" s="8" t="str">
        <f>VLOOKUP(G:G,Lookup_Departments!A:B,2,0)</f>
        <v>Operations</v>
      </c>
      <c r="I118" s="12">
        <v>43971</v>
      </c>
      <c r="J118" s="6">
        <f t="shared" ca="1" si="9"/>
        <v>6</v>
      </c>
      <c r="K118" s="15">
        <v>101997</v>
      </c>
      <c r="M118" s="6">
        <v>38</v>
      </c>
      <c r="O118" s="4" t="str">
        <f t="shared" si="10"/>
        <v>Needs Improvement</v>
      </c>
      <c r="P118" s="24" t="str">
        <f t="shared" si="11"/>
        <v>0</v>
      </c>
      <c r="Q118" s="28">
        <f t="shared" si="12"/>
        <v>0</v>
      </c>
      <c r="R118" s="4" t="s">
        <v>116</v>
      </c>
      <c r="S118" t="str">
        <f t="shared" si="13"/>
        <v>Resigned</v>
      </c>
    </row>
    <row r="119" spans="2:19" x14ac:dyDescent="0.35">
      <c r="B119" s="4" t="s">
        <v>235</v>
      </c>
      <c r="C119" s="4" t="s">
        <v>94</v>
      </c>
      <c r="D119" s="4" t="s">
        <v>41</v>
      </c>
      <c r="E119" s="4" t="s">
        <v>395</v>
      </c>
      <c r="F119" s="4" t="s">
        <v>97</v>
      </c>
      <c r="G119" s="8" t="str">
        <f t="shared" si="8"/>
        <v>HR01</v>
      </c>
      <c r="H119" s="8" t="str">
        <f>VLOOKUP(G:G,Lookup_Departments!A:B,2,0)</f>
        <v>Human Resources</v>
      </c>
      <c r="I119" s="12">
        <v>45036</v>
      </c>
      <c r="J119" s="6">
        <f t="shared" ca="1" si="9"/>
        <v>3</v>
      </c>
      <c r="K119" s="15">
        <v>115260</v>
      </c>
      <c r="M119" s="6">
        <v>77</v>
      </c>
      <c r="O119" s="4" t="str">
        <f t="shared" si="10"/>
        <v>Achieving</v>
      </c>
      <c r="P119" s="24" t="str">
        <f t="shared" si="11"/>
        <v>0.05</v>
      </c>
      <c r="Q119" s="28">
        <f t="shared" si="12"/>
        <v>5763</v>
      </c>
      <c r="R119" s="4" t="s">
        <v>45</v>
      </c>
      <c r="S119" t="str">
        <f t="shared" si="13"/>
        <v>Active</v>
      </c>
    </row>
    <row r="120" spans="2:19" x14ac:dyDescent="0.35">
      <c r="B120" s="4" t="s">
        <v>237</v>
      </c>
      <c r="C120" s="4" t="s">
        <v>94</v>
      </c>
      <c r="D120" s="4" t="s">
        <v>36</v>
      </c>
      <c r="E120" s="4" t="s">
        <v>396</v>
      </c>
      <c r="F120" s="4" t="s">
        <v>44</v>
      </c>
      <c r="G120" s="8" t="str">
        <f t="shared" si="8"/>
        <v>SAL05</v>
      </c>
      <c r="H120" s="8" t="str">
        <f>VLOOKUP(G:G,Lookup_Departments!A:B,2,0)</f>
        <v>Sales</v>
      </c>
      <c r="I120" s="12">
        <v>44500</v>
      </c>
      <c r="J120" s="6">
        <f t="shared" ca="1" si="9"/>
        <v>4</v>
      </c>
      <c r="K120" s="15">
        <v>83603.930769230763</v>
      </c>
      <c r="M120" s="6">
        <v>49</v>
      </c>
      <c r="O120" s="4" t="str">
        <f t="shared" si="10"/>
        <v>Needs Improvement</v>
      </c>
      <c r="P120" s="24" t="str">
        <f t="shared" si="11"/>
        <v>0</v>
      </c>
      <c r="Q120" s="28">
        <f t="shared" si="12"/>
        <v>0</v>
      </c>
      <c r="R120" s="4" t="s">
        <v>12</v>
      </c>
      <c r="S120" t="str">
        <f t="shared" si="13"/>
        <v>Active</v>
      </c>
    </row>
    <row r="121" spans="2:19" x14ac:dyDescent="0.35">
      <c r="B121" s="4" t="s">
        <v>238</v>
      </c>
      <c r="C121" s="4" t="s">
        <v>105</v>
      </c>
      <c r="D121" s="4" t="s">
        <v>10</v>
      </c>
      <c r="E121" s="4" t="s">
        <v>338</v>
      </c>
      <c r="F121" s="4" t="s">
        <v>20</v>
      </c>
      <c r="G121" s="8" t="str">
        <f t="shared" si="8"/>
        <v>IT02</v>
      </c>
      <c r="H121" s="8" t="str">
        <f>VLOOKUP(G:G,Lookup_Departments!A:B,2,0)</f>
        <v>Information Technology</v>
      </c>
      <c r="I121" s="12">
        <v>44493</v>
      </c>
      <c r="J121" s="6">
        <f t="shared" ca="1" si="9"/>
        <v>4</v>
      </c>
      <c r="K121" s="15">
        <v>83603.930769230763</v>
      </c>
      <c r="M121" s="6">
        <v>69</v>
      </c>
      <c r="O121" s="4" t="str">
        <f t="shared" si="10"/>
        <v>Developing</v>
      </c>
      <c r="P121" s="24" t="str">
        <f t="shared" si="11"/>
        <v>0.02</v>
      </c>
      <c r="Q121" s="28">
        <f t="shared" si="12"/>
        <v>1672.0786153846152</v>
      </c>
      <c r="R121" s="4" t="s">
        <v>108</v>
      </c>
      <c r="S121" t="str">
        <f t="shared" si="13"/>
        <v>Left</v>
      </c>
    </row>
    <row r="122" spans="2:19" x14ac:dyDescent="0.35">
      <c r="B122" s="4" t="s">
        <v>240</v>
      </c>
      <c r="C122" s="4" t="s">
        <v>59</v>
      </c>
      <c r="D122" s="4" t="s">
        <v>54</v>
      </c>
      <c r="E122" s="4" t="s">
        <v>397</v>
      </c>
      <c r="F122" s="4" t="s">
        <v>44</v>
      </c>
      <c r="G122" s="8" t="str">
        <f t="shared" si="8"/>
        <v>SAL05</v>
      </c>
      <c r="H122" s="8" t="str">
        <f>VLOOKUP(G:G,Lookup_Departments!A:B,2,0)</f>
        <v>Sales</v>
      </c>
      <c r="I122" s="12">
        <v>42956</v>
      </c>
      <c r="J122" s="6">
        <f t="shared" ca="1" si="9"/>
        <v>8</v>
      </c>
      <c r="K122" s="15">
        <v>83603.930769230763</v>
      </c>
      <c r="M122" s="6">
        <v>76</v>
      </c>
      <c r="O122" s="4" t="str">
        <f t="shared" si="10"/>
        <v>Achieving</v>
      </c>
      <c r="P122" s="24" t="str">
        <f t="shared" si="11"/>
        <v>0.05</v>
      </c>
      <c r="Q122" s="28">
        <f t="shared" si="12"/>
        <v>4180.1965384615387</v>
      </c>
      <c r="R122" s="4" t="s">
        <v>12</v>
      </c>
      <c r="S122" t="str">
        <f t="shared" si="13"/>
        <v>Active</v>
      </c>
    </row>
    <row r="123" spans="2:19" x14ac:dyDescent="0.35">
      <c r="B123" s="4" t="s">
        <v>241</v>
      </c>
      <c r="C123" s="4" t="s">
        <v>105</v>
      </c>
      <c r="D123" s="4" t="s">
        <v>41</v>
      </c>
      <c r="E123" s="4" t="s">
        <v>398</v>
      </c>
      <c r="F123" s="4" t="s">
        <v>165</v>
      </c>
      <c r="G123" s="8" t="str">
        <f t="shared" si="8"/>
        <v>OPS06</v>
      </c>
      <c r="H123" s="8" t="str">
        <f>VLOOKUP(G:G,Lookup_Departments!A:B,2,0)</f>
        <v>Operations</v>
      </c>
      <c r="I123" s="12">
        <v>44930</v>
      </c>
      <c r="J123" s="6">
        <f t="shared" ca="1" si="9"/>
        <v>3</v>
      </c>
      <c r="K123" s="15">
        <v>60623</v>
      </c>
      <c r="M123" s="6">
        <v>78</v>
      </c>
      <c r="O123" s="4" t="str">
        <f t="shared" si="10"/>
        <v>Achieving</v>
      </c>
      <c r="P123" s="24" t="str">
        <f t="shared" si="11"/>
        <v>0.05</v>
      </c>
      <c r="Q123" s="28">
        <f t="shared" si="12"/>
        <v>3031.15</v>
      </c>
      <c r="R123" s="4" t="s">
        <v>45</v>
      </c>
      <c r="S123" t="str">
        <f t="shared" si="13"/>
        <v>Active</v>
      </c>
    </row>
    <row r="124" spans="2:19" x14ac:dyDescent="0.35">
      <c r="B124" s="4" t="s">
        <v>242</v>
      </c>
      <c r="C124" s="4" t="s">
        <v>66</v>
      </c>
      <c r="D124" s="4" t="s">
        <v>32</v>
      </c>
      <c r="E124" s="4" t="s">
        <v>350</v>
      </c>
      <c r="F124" s="4" t="s">
        <v>157</v>
      </c>
      <c r="G124" s="8" t="str">
        <f t="shared" si="8"/>
        <v>HR01</v>
      </c>
      <c r="H124" s="8" t="str">
        <f>VLOOKUP(G:G,Lookup_Departments!A:B,2,0)</f>
        <v>Human Resources</v>
      </c>
      <c r="I124" s="12">
        <v>44053</v>
      </c>
      <c r="J124" s="6">
        <f t="shared" ca="1" si="9"/>
        <v>5</v>
      </c>
      <c r="K124" s="15">
        <v>68092</v>
      </c>
      <c r="M124" s="6">
        <v>93</v>
      </c>
      <c r="O124" s="4" t="str">
        <f t="shared" si="10"/>
        <v>Exceeding</v>
      </c>
      <c r="P124" s="24" t="str">
        <f t="shared" si="11"/>
        <v>0.08</v>
      </c>
      <c r="Q124" s="28">
        <f t="shared" si="12"/>
        <v>5447.36</v>
      </c>
      <c r="R124" s="4" t="s">
        <v>12</v>
      </c>
      <c r="S124" t="str">
        <f t="shared" si="13"/>
        <v>Active</v>
      </c>
    </row>
    <row r="125" spans="2:19" x14ac:dyDescent="0.35">
      <c r="B125" s="4" t="s">
        <v>245</v>
      </c>
      <c r="C125" s="4" t="s">
        <v>43</v>
      </c>
      <c r="D125" s="4" t="s">
        <v>36</v>
      </c>
      <c r="E125" s="4" t="s">
        <v>330</v>
      </c>
      <c r="F125" s="4" t="s">
        <v>16</v>
      </c>
      <c r="G125" s="8" t="str">
        <f t="shared" si="8"/>
        <v>MKT04</v>
      </c>
      <c r="H125" s="8" t="str">
        <f>VLOOKUP(G:G,Lookup_Departments!A:B,2,0)</f>
        <v>Marketing</v>
      </c>
      <c r="I125" s="12">
        <v>44653</v>
      </c>
      <c r="J125" s="6">
        <f t="shared" ca="1" si="9"/>
        <v>4</v>
      </c>
      <c r="K125" s="15">
        <v>88155</v>
      </c>
      <c r="M125" s="6">
        <v>68</v>
      </c>
      <c r="O125" s="4" t="str">
        <f t="shared" si="10"/>
        <v>Developing</v>
      </c>
      <c r="P125" s="24" t="str">
        <f t="shared" si="11"/>
        <v>0.02</v>
      </c>
      <c r="Q125" s="28">
        <f t="shared" si="12"/>
        <v>1763.1000000000001</v>
      </c>
      <c r="R125" s="4" t="s">
        <v>45</v>
      </c>
      <c r="S125" t="str">
        <f t="shared" si="13"/>
        <v>Active</v>
      </c>
    </row>
    <row r="126" spans="2:19" x14ac:dyDescent="0.35">
      <c r="B126" s="4" t="s">
        <v>246</v>
      </c>
      <c r="C126" s="4" t="s">
        <v>160</v>
      </c>
      <c r="D126" s="4" t="s">
        <v>60</v>
      </c>
      <c r="E126" s="4" t="s">
        <v>399</v>
      </c>
      <c r="F126" s="4" t="s">
        <v>16</v>
      </c>
      <c r="G126" s="8" t="str">
        <f t="shared" si="8"/>
        <v>MKT04</v>
      </c>
      <c r="H126" s="8" t="str">
        <f>VLOOKUP(G:G,Lookup_Departments!A:B,2,0)</f>
        <v>Marketing</v>
      </c>
      <c r="I126" s="12">
        <v>43183</v>
      </c>
      <c r="J126" s="6">
        <f t="shared" ca="1" si="9"/>
        <v>8</v>
      </c>
      <c r="K126" s="15">
        <v>107903</v>
      </c>
      <c r="M126" s="6">
        <v>42</v>
      </c>
      <c r="O126" s="4" t="str">
        <f t="shared" si="10"/>
        <v>Needs Improvement</v>
      </c>
      <c r="P126" s="24" t="str">
        <f t="shared" si="11"/>
        <v>0</v>
      </c>
      <c r="Q126" s="28">
        <f t="shared" si="12"/>
        <v>0</v>
      </c>
      <c r="R126" s="4" t="s">
        <v>17</v>
      </c>
      <c r="S126" t="str">
        <f t="shared" si="13"/>
        <v>Active</v>
      </c>
    </row>
    <row r="127" spans="2:19" x14ac:dyDescent="0.35">
      <c r="B127" s="4" t="s">
        <v>248</v>
      </c>
      <c r="C127" s="4" t="s">
        <v>160</v>
      </c>
      <c r="D127" s="4" t="s">
        <v>54</v>
      </c>
      <c r="E127" s="4" t="s">
        <v>388</v>
      </c>
      <c r="F127" s="4" t="s">
        <v>11</v>
      </c>
      <c r="G127" s="8" t="str">
        <f t="shared" si="8"/>
        <v>IT02</v>
      </c>
      <c r="H127" s="8" t="str">
        <f>VLOOKUP(G:G,Lookup_Departments!A:B,2,0)</f>
        <v>Information Technology</v>
      </c>
      <c r="I127" s="12">
        <v>43305</v>
      </c>
      <c r="J127" s="6">
        <f t="shared" ca="1" si="9"/>
        <v>7</v>
      </c>
      <c r="K127" s="15">
        <v>62818</v>
      </c>
      <c r="M127" s="6">
        <v>34</v>
      </c>
      <c r="O127" s="4" t="str">
        <f t="shared" si="10"/>
        <v>Needs Improvement</v>
      </c>
      <c r="P127" s="24" t="str">
        <f t="shared" si="11"/>
        <v>0</v>
      </c>
      <c r="Q127" s="28">
        <f t="shared" si="12"/>
        <v>0</v>
      </c>
      <c r="R127" s="4" t="s">
        <v>17</v>
      </c>
      <c r="S127" t="str">
        <f t="shared" si="13"/>
        <v>Active</v>
      </c>
    </row>
    <row r="128" spans="2:19" x14ac:dyDescent="0.35">
      <c r="B128" s="4" t="s">
        <v>249</v>
      </c>
      <c r="C128" s="4" t="s">
        <v>113</v>
      </c>
      <c r="D128" s="4" t="s">
        <v>54</v>
      </c>
      <c r="E128" s="4" t="s">
        <v>375</v>
      </c>
      <c r="F128" s="4" t="s">
        <v>157</v>
      </c>
      <c r="G128" s="8" t="str">
        <f t="shared" si="8"/>
        <v>HR01</v>
      </c>
      <c r="H128" s="8" t="str">
        <f>VLOOKUP(G:G,Lookup_Departments!A:B,2,0)</f>
        <v>Human Resources</v>
      </c>
      <c r="I128" s="12">
        <v>43301</v>
      </c>
      <c r="J128" s="6">
        <f t="shared" ca="1" si="9"/>
        <v>7</v>
      </c>
      <c r="K128" s="15">
        <v>85151</v>
      </c>
      <c r="M128" s="6">
        <v>35</v>
      </c>
      <c r="O128" s="4" t="str">
        <f t="shared" si="10"/>
        <v>Needs Improvement</v>
      </c>
      <c r="P128" s="24" t="str">
        <f t="shared" si="11"/>
        <v>0</v>
      </c>
      <c r="Q128" s="28">
        <f t="shared" si="12"/>
        <v>0</v>
      </c>
      <c r="R128" s="4" t="s">
        <v>17</v>
      </c>
      <c r="S128" t="str">
        <f t="shared" si="13"/>
        <v>Active</v>
      </c>
    </row>
    <row r="129" spans="2:19" x14ac:dyDescent="0.35">
      <c r="B129" s="4" t="s">
        <v>250</v>
      </c>
      <c r="C129" s="4" t="s">
        <v>53</v>
      </c>
      <c r="D129" s="4" t="s">
        <v>64</v>
      </c>
      <c r="E129" s="4" t="s">
        <v>351</v>
      </c>
      <c r="F129" s="4" t="s">
        <v>76</v>
      </c>
      <c r="G129" s="8" t="str">
        <f t="shared" si="8"/>
        <v>FIN03</v>
      </c>
      <c r="H129" s="8" t="str">
        <f>VLOOKUP(G:G,Lookup_Departments!A:B,2,0)</f>
        <v>Finance</v>
      </c>
      <c r="I129" s="12">
        <v>42433</v>
      </c>
      <c r="J129" s="6">
        <f t="shared" ca="1" si="9"/>
        <v>10</v>
      </c>
      <c r="K129" s="15">
        <v>46390</v>
      </c>
      <c r="M129" s="6">
        <v>95</v>
      </c>
      <c r="O129" s="4" t="str">
        <f t="shared" si="10"/>
        <v>Exceeding</v>
      </c>
      <c r="P129" s="24" t="str">
        <f t="shared" si="11"/>
        <v>0.08</v>
      </c>
      <c r="Q129" s="28">
        <f t="shared" si="12"/>
        <v>3711.2000000000003</v>
      </c>
      <c r="R129" s="4" t="s">
        <v>45</v>
      </c>
      <c r="S129" t="str">
        <f t="shared" si="13"/>
        <v>Active</v>
      </c>
    </row>
    <row r="130" spans="2:19" x14ac:dyDescent="0.35">
      <c r="B130" s="4" t="s">
        <v>252</v>
      </c>
      <c r="C130" s="4" t="s">
        <v>24</v>
      </c>
      <c r="D130" s="4" t="s">
        <v>25</v>
      </c>
      <c r="E130" s="4" t="s">
        <v>308</v>
      </c>
      <c r="F130" s="4" t="s">
        <v>157</v>
      </c>
      <c r="G130" s="8" t="str">
        <f t="shared" si="8"/>
        <v>HR01</v>
      </c>
      <c r="H130" s="8" t="str">
        <f>VLOOKUP(G:G,Lookup_Departments!A:B,2,0)</f>
        <v>Human Resources</v>
      </c>
      <c r="I130" s="12">
        <v>44643</v>
      </c>
      <c r="J130" s="6">
        <f t="shared" ca="1" si="9"/>
        <v>4</v>
      </c>
      <c r="K130" s="15">
        <v>111920</v>
      </c>
      <c r="M130" s="6">
        <v>90</v>
      </c>
      <c r="O130" s="4" t="str">
        <f t="shared" si="10"/>
        <v>Exceeding</v>
      </c>
      <c r="P130" s="24" t="str">
        <f t="shared" si="11"/>
        <v>0.08</v>
      </c>
      <c r="Q130" s="28">
        <f t="shared" si="12"/>
        <v>8953.6</v>
      </c>
      <c r="R130" s="4" t="s">
        <v>22</v>
      </c>
      <c r="S130" t="str">
        <f t="shared" si="13"/>
        <v>Left</v>
      </c>
    </row>
    <row r="131" spans="2:19" x14ac:dyDescent="0.35">
      <c r="B131" s="4" t="s">
        <v>253</v>
      </c>
      <c r="C131" s="4" t="s">
        <v>113</v>
      </c>
      <c r="D131" s="4" t="s">
        <v>135</v>
      </c>
      <c r="E131" s="4" t="s">
        <v>400</v>
      </c>
      <c r="F131" s="4" t="s">
        <v>138</v>
      </c>
      <c r="G131" s="8" t="str">
        <f t="shared" ref="G131:G151" si="14">UPPER(TRIM(F:F))</f>
        <v>HR01</v>
      </c>
      <c r="H131" s="8" t="str">
        <f>VLOOKUP(G:G,Lookup_Departments!A:B,2,0)</f>
        <v>Human Resources</v>
      </c>
      <c r="I131" s="12">
        <v>42944</v>
      </c>
      <c r="J131" s="6">
        <f t="shared" ref="J131:J151" ca="1" si="15">DATEDIF(I131,TODAY(),"Y")</f>
        <v>8</v>
      </c>
      <c r="K131" s="15">
        <v>115618</v>
      </c>
      <c r="M131" s="6">
        <v>42</v>
      </c>
      <c r="O131" s="4" t="str">
        <f t="shared" ref="O131:O151" si="16">IF(M131&gt;95,"Outstanding",IF(M131&gt;85,"Exceeding",IF(M131&gt;70,"Achieving",IF(M131&gt;50,"Developing",IF(M131&lt;50,"Needs Improvement")))))</f>
        <v>Needs Improvement</v>
      </c>
      <c r="P131" s="24" t="str">
        <f t="shared" ref="P131:P151" si="17">IF(M131&gt;95,"0.12",IF(M131&gt;85,"0.08",IF(M131&gt;70,"0.05",IF(M131&gt;50,"0.02",IF(M131&lt;50,"0")))))</f>
        <v>0</v>
      </c>
      <c r="Q131" s="28">
        <f t="shared" ref="Q131:Q151" si="18">K131*P131</f>
        <v>0</v>
      </c>
      <c r="R131" s="4" t="s">
        <v>17</v>
      </c>
      <c r="S131" t="str">
        <f t="shared" ref="S131:S151" si="19">PROPER(TRIM(R:R))</f>
        <v>Active</v>
      </c>
    </row>
    <row r="132" spans="2:19" x14ac:dyDescent="0.35">
      <c r="B132" s="4" t="s">
        <v>256</v>
      </c>
      <c r="C132" s="4" t="s">
        <v>94</v>
      </c>
      <c r="D132" s="4" t="s">
        <v>29</v>
      </c>
      <c r="E132" s="4" t="s">
        <v>401</v>
      </c>
      <c r="F132" s="4" t="s">
        <v>44</v>
      </c>
      <c r="G132" s="8" t="str">
        <f t="shared" si="14"/>
        <v>SAL05</v>
      </c>
      <c r="H132" s="8" t="str">
        <f>VLOOKUP(G:G,Lookup_Departments!A:B,2,0)</f>
        <v>Sales</v>
      </c>
      <c r="I132" s="12">
        <v>45057</v>
      </c>
      <c r="J132" s="6">
        <f t="shared" ca="1" si="15"/>
        <v>3</v>
      </c>
      <c r="K132" s="15">
        <v>110618</v>
      </c>
      <c r="M132" s="6">
        <v>88</v>
      </c>
      <c r="O132" s="4" t="str">
        <f t="shared" si="16"/>
        <v>Exceeding</v>
      </c>
      <c r="P132" s="24" t="str">
        <f t="shared" si="17"/>
        <v>0.08</v>
      </c>
      <c r="Q132" s="28">
        <f t="shared" si="18"/>
        <v>8849.44</v>
      </c>
      <c r="R132" s="4" t="s">
        <v>116</v>
      </c>
      <c r="S132" t="str">
        <f t="shared" si="19"/>
        <v>Resigned</v>
      </c>
    </row>
    <row r="133" spans="2:19" x14ac:dyDescent="0.35">
      <c r="B133" s="4" t="s">
        <v>259</v>
      </c>
      <c r="C133" s="4" t="s">
        <v>105</v>
      </c>
      <c r="D133" s="4" t="s">
        <v>15</v>
      </c>
      <c r="E133" s="4" t="s">
        <v>402</v>
      </c>
      <c r="F133" s="4" t="s">
        <v>37</v>
      </c>
      <c r="G133" s="8" t="str">
        <f t="shared" si="14"/>
        <v>OPS06</v>
      </c>
      <c r="H133" s="8" t="str">
        <f>VLOOKUP(G:G,Lookup_Departments!A:B,2,0)</f>
        <v>Operations</v>
      </c>
      <c r="I133" s="12">
        <v>44639</v>
      </c>
      <c r="J133" s="6">
        <f t="shared" ca="1" si="15"/>
        <v>4</v>
      </c>
      <c r="K133" s="15">
        <v>108395</v>
      </c>
      <c r="M133" s="6">
        <v>78</v>
      </c>
      <c r="O133" s="4" t="str">
        <f t="shared" si="16"/>
        <v>Achieving</v>
      </c>
      <c r="P133" s="24" t="str">
        <f t="shared" si="17"/>
        <v>0.05</v>
      </c>
      <c r="Q133" s="28">
        <f t="shared" si="18"/>
        <v>5419.75</v>
      </c>
      <c r="R133" s="4" t="s">
        <v>30</v>
      </c>
      <c r="S133" t="str">
        <f t="shared" si="19"/>
        <v>Left</v>
      </c>
    </row>
    <row r="134" spans="2:19" x14ac:dyDescent="0.35">
      <c r="B134" s="4" t="s">
        <v>261</v>
      </c>
      <c r="C134" s="4" t="s">
        <v>105</v>
      </c>
      <c r="D134" s="4" t="s">
        <v>32</v>
      </c>
      <c r="E134" s="4" t="s">
        <v>347</v>
      </c>
      <c r="F134" s="4" t="s">
        <v>26</v>
      </c>
      <c r="G134" s="8" t="str">
        <f t="shared" si="14"/>
        <v>FIN03</v>
      </c>
      <c r="H134" s="8" t="str">
        <f>VLOOKUP(G:G,Lookup_Departments!A:B,2,0)</f>
        <v>Finance</v>
      </c>
      <c r="I134" s="12">
        <v>43091</v>
      </c>
      <c r="J134" s="6">
        <f t="shared" ca="1" si="15"/>
        <v>8</v>
      </c>
      <c r="K134" s="15">
        <v>88005</v>
      </c>
      <c r="M134" s="6">
        <v>69</v>
      </c>
      <c r="O134" s="4" t="str">
        <f t="shared" si="16"/>
        <v>Developing</v>
      </c>
      <c r="P134" s="24" t="str">
        <f t="shared" si="17"/>
        <v>0.02</v>
      </c>
      <c r="Q134" s="28">
        <f t="shared" si="18"/>
        <v>1760.1000000000001</v>
      </c>
      <c r="R134" s="4" t="s">
        <v>45</v>
      </c>
      <c r="S134" t="str">
        <f t="shared" si="19"/>
        <v>Active</v>
      </c>
    </row>
    <row r="135" spans="2:19" x14ac:dyDescent="0.35">
      <c r="B135" s="4" t="s">
        <v>262</v>
      </c>
      <c r="C135" s="4" t="s">
        <v>53</v>
      </c>
      <c r="D135" s="4" t="s">
        <v>133</v>
      </c>
      <c r="E135" s="4" t="s">
        <v>403</v>
      </c>
      <c r="F135" s="4" t="s">
        <v>61</v>
      </c>
      <c r="G135" s="8" t="str">
        <f t="shared" si="14"/>
        <v>MKT04</v>
      </c>
      <c r="H135" s="8" t="str">
        <f>VLOOKUP(G:G,Lookup_Departments!A:B,2,0)</f>
        <v>Marketing</v>
      </c>
      <c r="I135" s="12">
        <v>44437</v>
      </c>
      <c r="J135" s="6">
        <f t="shared" ca="1" si="15"/>
        <v>4</v>
      </c>
      <c r="K135" s="15">
        <v>83007</v>
      </c>
      <c r="M135" s="6">
        <v>82</v>
      </c>
      <c r="O135" s="4" t="str">
        <f t="shared" si="16"/>
        <v>Achieving</v>
      </c>
      <c r="P135" s="24" t="str">
        <f t="shared" si="17"/>
        <v>0.05</v>
      </c>
      <c r="Q135" s="28">
        <f t="shared" si="18"/>
        <v>4150.3500000000004</v>
      </c>
      <c r="R135" s="4" t="s">
        <v>45</v>
      </c>
      <c r="S135" t="str">
        <f t="shared" si="19"/>
        <v>Active</v>
      </c>
    </row>
    <row r="136" spans="2:19" x14ac:dyDescent="0.35">
      <c r="B136" s="4" t="s">
        <v>264</v>
      </c>
      <c r="C136" s="4" t="s">
        <v>113</v>
      </c>
      <c r="D136" s="4" t="s">
        <v>64</v>
      </c>
      <c r="E136" s="4" t="s">
        <v>404</v>
      </c>
      <c r="F136" s="4" t="s">
        <v>11</v>
      </c>
      <c r="G136" s="8" t="str">
        <f t="shared" si="14"/>
        <v>IT02</v>
      </c>
      <c r="H136" s="8" t="str">
        <f>VLOOKUP(G:G,Lookup_Departments!A:B,2,0)</f>
        <v>Information Technology</v>
      </c>
      <c r="I136" s="12">
        <v>43360</v>
      </c>
      <c r="J136" s="6">
        <f t="shared" ca="1" si="15"/>
        <v>7</v>
      </c>
      <c r="K136" s="15">
        <v>61547</v>
      </c>
      <c r="M136" s="6">
        <v>68</v>
      </c>
      <c r="O136" s="4" t="str">
        <f t="shared" si="16"/>
        <v>Developing</v>
      </c>
      <c r="P136" s="24" t="str">
        <f t="shared" si="17"/>
        <v>0.02</v>
      </c>
      <c r="Q136" s="28">
        <f t="shared" si="18"/>
        <v>1230.94</v>
      </c>
      <c r="R136" s="4" t="s">
        <v>17</v>
      </c>
      <c r="S136" t="str">
        <f t="shared" si="19"/>
        <v>Active</v>
      </c>
    </row>
    <row r="137" spans="2:19" x14ac:dyDescent="0.35">
      <c r="B137" s="4" t="s">
        <v>266</v>
      </c>
      <c r="C137" s="4" t="s">
        <v>66</v>
      </c>
      <c r="D137" s="4" t="s">
        <v>36</v>
      </c>
      <c r="E137" s="4" t="s">
        <v>405</v>
      </c>
      <c r="F137" s="4" t="s">
        <v>48</v>
      </c>
      <c r="G137" s="8" t="str">
        <f t="shared" si="14"/>
        <v>SAL05</v>
      </c>
      <c r="H137" s="8" t="str">
        <f>VLOOKUP(G:G,Lookup_Departments!A:B,2,0)</f>
        <v>Sales</v>
      </c>
      <c r="I137" s="12">
        <v>44375</v>
      </c>
      <c r="J137" s="6">
        <f t="shared" ca="1" si="15"/>
        <v>5</v>
      </c>
      <c r="K137" s="15">
        <v>83603.930769230763</v>
      </c>
      <c r="M137" s="6">
        <v>52</v>
      </c>
      <c r="O137" s="4" t="str">
        <f t="shared" si="16"/>
        <v>Developing</v>
      </c>
      <c r="P137" s="24" t="str">
        <f t="shared" si="17"/>
        <v>0.02</v>
      </c>
      <c r="Q137" s="28">
        <f t="shared" si="18"/>
        <v>1672.0786153846152</v>
      </c>
      <c r="R137" s="4" t="s">
        <v>45</v>
      </c>
      <c r="S137" t="str">
        <f t="shared" si="19"/>
        <v>Active</v>
      </c>
    </row>
    <row r="138" spans="2:19" x14ac:dyDescent="0.35">
      <c r="B138" s="4" t="s">
        <v>267</v>
      </c>
      <c r="C138" s="4" t="s">
        <v>14</v>
      </c>
      <c r="D138" s="4" t="s">
        <v>32</v>
      </c>
      <c r="E138" s="4" t="s">
        <v>406</v>
      </c>
      <c r="F138" s="4" t="s">
        <v>33</v>
      </c>
      <c r="G138" s="8" t="str">
        <f t="shared" si="14"/>
        <v>OPS06</v>
      </c>
      <c r="H138" s="8" t="str">
        <f>VLOOKUP(G:G,Lookup_Departments!A:B,2,0)</f>
        <v>Operations</v>
      </c>
      <c r="I138" s="12">
        <v>43011</v>
      </c>
      <c r="J138" s="6">
        <f t="shared" ca="1" si="15"/>
        <v>8</v>
      </c>
      <c r="K138" s="15">
        <v>50399</v>
      </c>
      <c r="M138" s="6">
        <v>92</v>
      </c>
      <c r="O138" s="4" t="str">
        <f t="shared" si="16"/>
        <v>Exceeding</v>
      </c>
      <c r="P138" s="24" t="str">
        <f t="shared" si="17"/>
        <v>0.08</v>
      </c>
      <c r="Q138" s="28">
        <f t="shared" si="18"/>
        <v>4031.92</v>
      </c>
      <c r="R138" s="4" t="s">
        <v>108</v>
      </c>
      <c r="S138" t="str">
        <f t="shared" si="19"/>
        <v>Left</v>
      </c>
    </row>
    <row r="139" spans="2:19" x14ac:dyDescent="0.35">
      <c r="B139" s="4" t="s">
        <v>269</v>
      </c>
      <c r="C139" s="4" t="s">
        <v>14</v>
      </c>
      <c r="D139" s="4" t="s">
        <v>54</v>
      </c>
      <c r="E139" s="4" t="s">
        <v>407</v>
      </c>
      <c r="F139" s="4" t="s">
        <v>26</v>
      </c>
      <c r="G139" s="8" t="str">
        <f t="shared" si="14"/>
        <v>FIN03</v>
      </c>
      <c r="H139" s="8" t="str">
        <f>VLOOKUP(G:G,Lookup_Departments!A:B,2,0)</f>
        <v>Finance</v>
      </c>
      <c r="I139" s="12">
        <v>42299</v>
      </c>
      <c r="J139" s="6">
        <f t="shared" ca="1" si="15"/>
        <v>10</v>
      </c>
      <c r="K139" s="15">
        <v>83603.930769230763</v>
      </c>
      <c r="M139" s="6">
        <v>62</v>
      </c>
      <c r="O139" s="4" t="str">
        <f t="shared" si="16"/>
        <v>Developing</v>
      </c>
      <c r="P139" s="24" t="str">
        <f t="shared" si="17"/>
        <v>0.02</v>
      </c>
      <c r="Q139" s="28">
        <f t="shared" si="18"/>
        <v>1672.0786153846152</v>
      </c>
      <c r="R139" s="4" t="s">
        <v>17</v>
      </c>
      <c r="S139" t="str">
        <f t="shared" si="19"/>
        <v>Active</v>
      </c>
    </row>
    <row r="140" spans="2:19" x14ac:dyDescent="0.35">
      <c r="B140" s="4" t="s">
        <v>271</v>
      </c>
      <c r="C140" s="4" t="s">
        <v>24</v>
      </c>
      <c r="D140" s="4" t="s">
        <v>15</v>
      </c>
      <c r="E140" s="4" t="s">
        <v>408</v>
      </c>
      <c r="F140" s="4" t="s">
        <v>33</v>
      </c>
      <c r="G140" s="8" t="str">
        <f t="shared" si="14"/>
        <v>OPS06</v>
      </c>
      <c r="H140" s="8" t="str">
        <f>VLOOKUP(G:G,Lookup_Departments!A:B,2,0)</f>
        <v>Operations</v>
      </c>
      <c r="I140" s="12">
        <v>43257</v>
      </c>
      <c r="J140" s="6">
        <f t="shared" ca="1" si="15"/>
        <v>8</v>
      </c>
      <c r="K140" s="15">
        <v>52720</v>
      </c>
      <c r="M140" s="6">
        <v>68</v>
      </c>
      <c r="O140" s="4" t="str">
        <f t="shared" si="16"/>
        <v>Developing</v>
      </c>
      <c r="P140" s="24" t="str">
        <f t="shared" si="17"/>
        <v>0.02</v>
      </c>
      <c r="Q140" s="28">
        <f t="shared" si="18"/>
        <v>1054.4000000000001</v>
      </c>
      <c r="R140" s="4" t="s">
        <v>17</v>
      </c>
      <c r="S140" t="str">
        <f t="shared" si="19"/>
        <v>Active</v>
      </c>
    </row>
    <row r="141" spans="2:19" x14ac:dyDescent="0.35">
      <c r="B141" s="4" t="s">
        <v>272</v>
      </c>
      <c r="C141" s="4" t="s">
        <v>94</v>
      </c>
      <c r="D141" s="4" t="s">
        <v>19</v>
      </c>
      <c r="E141" s="4" t="s">
        <v>409</v>
      </c>
      <c r="F141" s="4" t="s">
        <v>33</v>
      </c>
      <c r="G141" s="8" t="str">
        <f t="shared" si="14"/>
        <v>OPS06</v>
      </c>
      <c r="H141" s="8" t="str">
        <f>VLOOKUP(G:G,Lookup_Departments!A:B,2,0)</f>
        <v>Operations</v>
      </c>
      <c r="I141" s="12">
        <v>42932</v>
      </c>
      <c r="J141" s="6">
        <f t="shared" ca="1" si="15"/>
        <v>8</v>
      </c>
      <c r="K141" s="15">
        <v>65065</v>
      </c>
      <c r="M141" s="6">
        <v>98</v>
      </c>
      <c r="O141" s="4" t="str">
        <f t="shared" si="16"/>
        <v>Outstanding</v>
      </c>
      <c r="P141" s="24" t="str">
        <f t="shared" si="17"/>
        <v>0.12</v>
      </c>
      <c r="Q141" s="28">
        <f t="shared" si="18"/>
        <v>7807.7999999999993</v>
      </c>
      <c r="R141" s="4" t="s">
        <v>45</v>
      </c>
      <c r="S141" t="str">
        <f t="shared" si="19"/>
        <v>Active</v>
      </c>
    </row>
    <row r="142" spans="2:19" x14ac:dyDescent="0.35">
      <c r="B142" s="4" t="s">
        <v>273</v>
      </c>
      <c r="C142" s="4" t="s">
        <v>105</v>
      </c>
      <c r="D142" s="4" t="s">
        <v>15</v>
      </c>
      <c r="E142" s="4" t="s">
        <v>402</v>
      </c>
      <c r="F142" s="4" t="s">
        <v>44</v>
      </c>
      <c r="G142" s="8" t="str">
        <f t="shared" si="14"/>
        <v>SAL05</v>
      </c>
      <c r="H142" s="8" t="str">
        <f>VLOOKUP(G:G,Lookup_Departments!A:B,2,0)</f>
        <v>Sales</v>
      </c>
      <c r="I142" s="12">
        <v>42175</v>
      </c>
      <c r="J142" s="6">
        <f t="shared" ca="1" si="15"/>
        <v>11</v>
      </c>
      <c r="K142" s="15">
        <v>83603.930769230763</v>
      </c>
      <c r="M142" s="6">
        <v>94</v>
      </c>
      <c r="O142" s="4" t="str">
        <f t="shared" si="16"/>
        <v>Exceeding</v>
      </c>
      <c r="P142" s="24" t="str">
        <f t="shared" si="17"/>
        <v>0.08</v>
      </c>
      <c r="Q142" s="28">
        <f t="shared" si="18"/>
        <v>6688.3144615384608</v>
      </c>
      <c r="R142" s="4" t="s">
        <v>116</v>
      </c>
      <c r="S142" t="str">
        <f t="shared" si="19"/>
        <v>Resigned</v>
      </c>
    </row>
    <row r="143" spans="2:19" x14ac:dyDescent="0.35">
      <c r="B143" s="4" t="s">
        <v>274</v>
      </c>
      <c r="C143" s="4" t="s">
        <v>105</v>
      </c>
      <c r="D143" s="4" t="s">
        <v>15</v>
      </c>
      <c r="E143" s="4" t="s">
        <v>402</v>
      </c>
      <c r="F143" s="4" t="s">
        <v>37</v>
      </c>
      <c r="G143" s="8" t="str">
        <f t="shared" si="14"/>
        <v>OPS06</v>
      </c>
      <c r="H143" s="8" t="str">
        <f>VLOOKUP(G:G,Lookup_Departments!A:B,2,0)</f>
        <v>Operations</v>
      </c>
      <c r="I143" s="12">
        <v>43609</v>
      </c>
      <c r="J143" s="6">
        <f t="shared" ca="1" si="15"/>
        <v>7</v>
      </c>
      <c r="K143" s="15">
        <v>108119</v>
      </c>
      <c r="M143" s="6">
        <v>57</v>
      </c>
      <c r="O143" s="4" t="str">
        <f t="shared" si="16"/>
        <v>Developing</v>
      </c>
      <c r="P143" s="24" t="str">
        <f t="shared" si="17"/>
        <v>0.02</v>
      </c>
      <c r="Q143" s="28">
        <f t="shared" si="18"/>
        <v>2162.38</v>
      </c>
      <c r="R143" s="4" t="s">
        <v>116</v>
      </c>
      <c r="S143" t="str">
        <f t="shared" si="19"/>
        <v>Resigned</v>
      </c>
    </row>
    <row r="144" spans="2:19" x14ac:dyDescent="0.35">
      <c r="B144" s="4" t="s">
        <v>276</v>
      </c>
      <c r="C144" s="4" t="s">
        <v>24</v>
      </c>
      <c r="D144" s="4" t="s">
        <v>64</v>
      </c>
      <c r="E144" s="4" t="s">
        <v>349</v>
      </c>
      <c r="F144" s="4" t="s">
        <v>84</v>
      </c>
      <c r="G144" s="8" t="str">
        <f t="shared" si="14"/>
        <v>IT02</v>
      </c>
      <c r="H144" s="8" t="str">
        <f>VLOOKUP(G:G,Lookup_Departments!A:B,2,0)</f>
        <v>Information Technology</v>
      </c>
      <c r="I144" s="12">
        <v>43887</v>
      </c>
      <c r="J144" s="6">
        <f t="shared" ca="1" si="15"/>
        <v>6</v>
      </c>
      <c r="K144" s="15">
        <v>83603.930769230763</v>
      </c>
      <c r="M144" s="6">
        <v>96</v>
      </c>
      <c r="O144" s="4" t="str">
        <f t="shared" si="16"/>
        <v>Outstanding</v>
      </c>
      <c r="P144" s="24" t="str">
        <f t="shared" si="17"/>
        <v>0.12</v>
      </c>
      <c r="Q144" s="28">
        <f t="shared" si="18"/>
        <v>10032.47169230769</v>
      </c>
      <c r="R144" s="4" t="s">
        <v>12</v>
      </c>
      <c r="S144" t="str">
        <f t="shared" si="19"/>
        <v>Active</v>
      </c>
    </row>
    <row r="145" spans="2:19" x14ac:dyDescent="0.35">
      <c r="B145" s="4" t="s">
        <v>277</v>
      </c>
      <c r="C145" s="4" t="s">
        <v>14</v>
      </c>
      <c r="D145" s="4" t="s">
        <v>64</v>
      </c>
      <c r="E145" s="4" t="s">
        <v>352</v>
      </c>
      <c r="F145" s="4" t="s">
        <v>97</v>
      </c>
      <c r="G145" s="8" t="str">
        <f t="shared" si="14"/>
        <v>HR01</v>
      </c>
      <c r="H145" s="8" t="str">
        <f>VLOOKUP(G:G,Lookup_Departments!A:B,2,0)</f>
        <v>Human Resources</v>
      </c>
      <c r="I145" s="12">
        <v>44991</v>
      </c>
      <c r="J145" s="6">
        <f t="shared" ca="1" si="15"/>
        <v>3</v>
      </c>
      <c r="K145" s="15">
        <v>106896</v>
      </c>
      <c r="M145" s="6">
        <v>52</v>
      </c>
      <c r="O145" s="4" t="str">
        <f t="shared" si="16"/>
        <v>Developing</v>
      </c>
      <c r="P145" s="24" t="str">
        <f t="shared" si="17"/>
        <v>0.02</v>
      </c>
      <c r="Q145" s="28">
        <f t="shared" si="18"/>
        <v>2137.92</v>
      </c>
      <c r="R145" s="4" t="s">
        <v>22</v>
      </c>
      <c r="S145" t="str">
        <f t="shared" si="19"/>
        <v>Left</v>
      </c>
    </row>
    <row r="146" spans="2:19" x14ac:dyDescent="0.35">
      <c r="B146" s="4" t="s">
        <v>278</v>
      </c>
      <c r="C146" s="4" t="s">
        <v>60</v>
      </c>
      <c r="D146" s="4" t="s">
        <v>60</v>
      </c>
      <c r="E146" s="4" t="s">
        <v>410</v>
      </c>
      <c r="F146" s="4" t="s">
        <v>20</v>
      </c>
      <c r="G146" s="8" t="str">
        <f t="shared" si="14"/>
        <v>IT02</v>
      </c>
      <c r="H146" s="8" t="str">
        <f>VLOOKUP(G:G,Lookup_Departments!A:B,2,0)</f>
        <v>Information Technology</v>
      </c>
      <c r="I146" s="12">
        <v>43477</v>
      </c>
      <c r="J146" s="6">
        <f t="shared" ca="1" si="15"/>
        <v>7</v>
      </c>
      <c r="K146" s="15">
        <v>112887</v>
      </c>
      <c r="M146" s="6">
        <v>59</v>
      </c>
      <c r="O146" s="4" t="str">
        <f t="shared" si="16"/>
        <v>Developing</v>
      </c>
      <c r="P146" s="24" t="str">
        <f t="shared" si="17"/>
        <v>0.02</v>
      </c>
      <c r="Q146" s="28">
        <f t="shared" si="18"/>
        <v>2257.7400000000002</v>
      </c>
      <c r="R146" s="4" t="s">
        <v>45</v>
      </c>
      <c r="S146" t="str">
        <f t="shared" si="19"/>
        <v>Active</v>
      </c>
    </row>
    <row r="147" spans="2:19" x14ac:dyDescent="0.35">
      <c r="B147" s="4" t="s">
        <v>280</v>
      </c>
      <c r="C147" s="4" t="s">
        <v>160</v>
      </c>
      <c r="D147" s="4" t="s">
        <v>41</v>
      </c>
      <c r="E147" s="4" t="s">
        <v>411</v>
      </c>
      <c r="F147" s="4" t="s">
        <v>26</v>
      </c>
      <c r="G147" s="8" t="str">
        <f t="shared" si="14"/>
        <v>FIN03</v>
      </c>
      <c r="H147" s="8" t="str">
        <f>VLOOKUP(G:G,Lookup_Departments!A:B,2,0)</f>
        <v>Finance</v>
      </c>
      <c r="I147" s="12">
        <v>45037</v>
      </c>
      <c r="J147" s="6">
        <f t="shared" ca="1" si="15"/>
        <v>3</v>
      </c>
      <c r="K147" s="15">
        <v>85457</v>
      </c>
      <c r="M147" s="6">
        <v>79</v>
      </c>
      <c r="O147" s="4" t="str">
        <f t="shared" si="16"/>
        <v>Achieving</v>
      </c>
      <c r="P147" s="24" t="str">
        <f t="shared" si="17"/>
        <v>0.05</v>
      </c>
      <c r="Q147" s="28">
        <f t="shared" si="18"/>
        <v>4272.8500000000004</v>
      </c>
      <c r="R147" s="4" t="s">
        <v>17</v>
      </c>
      <c r="S147" t="str">
        <f t="shared" si="19"/>
        <v>Active</v>
      </c>
    </row>
    <row r="148" spans="2:19" x14ac:dyDescent="0.35">
      <c r="B148" s="4" t="s">
        <v>281</v>
      </c>
      <c r="C148" s="4" t="s">
        <v>105</v>
      </c>
      <c r="D148" s="4" t="s">
        <v>47</v>
      </c>
      <c r="E148" s="4" t="s">
        <v>412</v>
      </c>
      <c r="F148" s="4" t="s">
        <v>48</v>
      </c>
      <c r="G148" s="8" t="str">
        <f t="shared" si="14"/>
        <v>SAL05</v>
      </c>
      <c r="H148" s="8" t="str">
        <f>VLOOKUP(G:G,Lookup_Departments!A:B,2,0)</f>
        <v>Sales</v>
      </c>
      <c r="I148" s="12">
        <v>42519</v>
      </c>
      <c r="J148" s="6">
        <f t="shared" ca="1" si="15"/>
        <v>10</v>
      </c>
      <c r="K148" s="15">
        <v>62798</v>
      </c>
      <c r="M148" s="6">
        <v>30</v>
      </c>
      <c r="O148" s="4" t="str">
        <f t="shared" si="16"/>
        <v>Needs Improvement</v>
      </c>
      <c r="P148" s="24" t="str">
        <f t="shared" si="17"/>
        <v>0</v>
      </c>
      <c r="Q148" s="28">
        <f t="shared" si="18"/>
        <v>0</v>
      </c>
      <c r="R148" s="4" t="s">
        <v>17</v>
      </c>
      <c r="S148" t="str">
        <f t="shared" si="19"/>
        <v>Active</v>
      </c>
    </row>
    <row r="149" spans="2:19" x14ac:dyDescent="0.35">
      <c r="B149" s="4" t="s">
        <v>282</v>
      </c>
      <c r="C149" s="4" t="s">
        <v>9</v>
      </c>
      <c r="D149" s="4" t="s">
        <v>25</v>
      </c>
      <c r="E149" s="4" t="s">
        <v>413</v>
      </c>
      <c r="F149" s="4" t="s">
        <v>33</v>
      </c>
      <c r="G149" s="8" t="str">
        <f t="shared" si="14"/>
        <v>OPS06</v>
      </c>
      <c r="H149" s="8" t="str">
        <f>VLOOKUP(G:G,Lookup_Departments!A:B,2,0)</f>
        <v>Operations</v>
      </c>
      <c r="I149" s="12">
        <v>44711</v>
      </c>
      <c r="J149" s="6">
        <f t="shared" ca="1" si="15"/>
        <v>4</v>
      </c>
      <c r="K149" s="15">
        <v>47794</v>
      </c>
      <c r="M149" s="6">
        <v>73</v>
      </c>
      <c r="O149" s="4" t="str">
        <f t="shared" si="16"/>
        <v>Achieving</v>
      </c>
      <c r="P149" s="24" t="str">
        <f t="shared" si="17"/>
        <v>0.05</v>
      </c>
      <c r="Q149" s="28">
        <f t="shared" si="18"/>
        <v>2389.7000000000003</v>
      </c>
      <c r="R149" s="4" t="s">
        <v>22</v>
      </c>
      <c r="S149" t="str">
        <f t="shared" si="19"/>
        <v>Left</v>
      </c>
    </row>
    <row r="150" spans="2:19" x14ac:dyDescent="0.35">
      <c r="B150" s="4" t="s">
        <v>283</v>
      </c>
      <c r="C150" s="4" t="s">
        <v>66</v>
      </c>
      <c r="D150" s="4" t="s">
        <v>41</v>
      </c>
      <c r="E150" s="4" t="s">
        <v>394</v>
      </c>
      <c r="F150" s="4" t="s">
        <v>16</v>
      </c>
      <c r="G150" s="8" t="str">
        <f t="shared" si="14"/>
        <v>MKT04</v>
      </c>
      <c r="H150" s="8" t="str">
        <f>VLOOKUP(G:G,Lookup_Departments!A:B,2,0)</f>
        <v>Marketing</v>
      </c>
      <c r="I150" s="12">
        <v>42677</v>
      </c>
      <c r="J150" s="6">
        <f t="shared" ca="1" si="15"/>
        <v>9</v>
      </c>
      <c r="K150" s="15">
        <v>93094</v>
      </c>
      <c r="M150" s="6">
        <v>74</v>
      </c>
      <c r="O150" s="4" t="str">
        <f t="shared" si="16"/>
        <v>Achieving</v>
      </c>
      <c r="P150" s="24" t="str">
        <f t="shared" si="17"/>
        <v>0.05</v>
      </c>
      <c r="Q150" s="28">
        <f t="shared" si="18"/>
        <v>4654.7</v>
      </c>
      <c r="R150" s="4" t="s">
        <v>12</v>
      </c>
      <c r="S150" t="str">
        <f t="shared" si="19"/>
        <v>Active</v>
      </c>
    </row>
    <row r="151" spans="2:19" x14ac:dyDescent="0.35">
      <c r="B151" s="4" t="s">
        <v>285</v>
      </c>
      <c r="C151" s="4" t="s">
        <v>71</v>
      </c>
      <c r="D151" s="4" t="s">
        <v>10</v>
      </c>
      <c r="E151" s="4" t="s">
        <v>391</v>
      </c>
      <c r="F151" s="4" t="s">
        <v>11</v>
      </c>
      <c r="G151" s="8" t="str">
        <f t="shared" si="14"/>
        <v>IT02</v>
      </c>
      <c r="H151" s="8" t="str">
        <f>VLOOKUP(G:G,Lookup_Departments!A:B,2,0)</f>
        <v>Information Technology</v>
      </c>
      <c r="I151" s="12">
        <v>44848</v>
      </c>
      <c r="J151" s="6">
        <f t="shared" ca="1" si="15"/>
        <v>3</v>
      </c>
      <c r="K151" s="15">
        <v>118634</v>
      </c>
      <c r="M151" s="6">
        <v>91</v>
      </c>
      <c r="O151" s="4" t="str">
        <f t="shared" si="16"/>
        <v>Exceeding</v>
      </c>
      <c r="P151" s="24" t="str">
        <f t="shared" si="17"/>
        <v>0.08</v>
      </c>
      <c r="Q151" s="28">
        <f t="shared" si="18"/>
        <v>9490.7199999999993</v>
      </c>
      <c r="R151" s="4" t="s">
        <v>17</v>
      </c>
      <c r="S151" t="str">
        <f t="shared" si="19"/>
        <v>Active</v>
      </c>
    </row>
  </sheetData>
  <autoFilter ref="B1:S151" xr:uid="{00000000-0001-0000-0300-000000000000}"/>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B1:O158"/>
  <sheetViews>
    <sheetView zoomScale="60" zoomScaleNormal="60" workbookViewId="0">
      <selection activeCell="Q41" sqref="Q41"/>
    </sheetView>
  </sheetViews>
  <sheetFormatPr defaultRowHeight="14.5" x14ac:dyDescent="0.35"/>
  <cols>
    <col min="1" max="1" width="27" customWidth="1"/>
    <col min="2" max="2" width="14" style="4" bestFit="1" customWidth="1"/>
    <col min="3" max="3" width="18" style="4" bestFit="1" customWidth="1"/>
    <col min="4" max="4" width="11.453125" style="4" customWidth="1"/>
    <col min="5" max="5" width="22.54296875" style="4" bestFit="1" customWidth="1"/>
    <col min="6" max="6" width="10.7265625" style="12" bestFit="1" customWidth="1"/>
    <col min="7" max="7" width="11.1796875" style="15" bestFit="1" customWidth="1"/>
    <col min="8" max="8" width="14.54296875" style="6" customWidth="1"/>
    <col min="9" max="9" width="11.54296875" style="6" customWidth="1"/>
    <col min="10" max="10" width="13.453125" style="6" customWidth="1"/>
    <col min="11" max="11" width="18.453125" style="4" customWidth="1"/>
    <col min="12" max="12" width="15.453125" style="6" customWidth="1"/>
    <col min="13" max="13" width="19.54296875" style="4" bestFit="1" customWidth="1"/>
    <col min="14" max="14" width="24.26953125" style="31" customWidth="1"/>
    <col min="15" max="15" width="22.54296875" style="15" bestFit="1" customWidth="1"/>
  </cols>
  <sheetData>
    <row r="1" spans="2:15" s="22" customFormat="1" ht="22.5" customHeight="1" x14ac:dyDescent="0.35">
      <c r="B1" s="36" t="s">
        <v>0</v>
      </c>
      <c r="C1" s="19" t="s">
        <v>304</v>
      </c>
      <c r="D1" s="19" t="s">
        <v>3</v>
      </c>
      <c r="E1" s="19" t="s">
        <v>414</v>
      </c>
      <c r="F1" s="20" t="s">
        <v>4</v>
      </c>
      <c r="G1" s="27" t="s">
        <v>5</v>
      </c>
      <c r="H1" s="21" t="s">
        <v>418</v>
      </c>
      <c r="I1" s="21" t="s">
        <v>6</v>
      </c>
      <c r="J1" s="21" t="s">
        <v>420</v>
      </c>
      <c r="K1" s="19" t="s">
        <v>7</v>
      </c>
      <c r="L1" s="35" t="s">
        <v>421</v>
      </c>
      <c r="M1" s="19" t="s">
        <v>422</v>
      </c>
      <c r="N1" s="30" t="s">
        <v>426</v>
      </c>
      <c r="O1" s="34" t="s">
        <v>424</v>
      </c>
    </row>
    <row r="2" spans="2:15" x14ac:dyDescent="0.35">
      <c r="B2" s="4" t="s">
        <v>8</v>
      </c>
      <c r="C2" s="4" t="s">
        <v>305</v>
      </c>
      <c r="D2" s="4" t="s">
        <v>11</v>
      </c>
      <c r="E2" s="4" t="s">
        <v>290</v>
      </c>
      <c r="F2" s="12">
        <v>43093</v>
      </c>
      <c r="G2" s="15">
        <v>50361</v>
      </c>
      <c r="H2" s="15">
        <v>83603.930769230807</v>
      </c>
      <c r="I2" s="6">
        <v>52</v>
      </c>
      <c r="J2" s="6">
        <v>67.647511737089076</v>
      </c>
      <c r="K2" s="4" t="s">
        <v>45</v>
      </c>
      <c r="L2" s="6">
        <v>8</v>
      </c>
      <c r="M2" s="4" t="s">
        <v>300</v>
      </c>
      <c r="N2" s="31">
        <v>0.02</v>
      </c>
      <c r="O2" s="15">
        <v>1007.22</v>
      </c>
    </row>
    <row r="3" spans="2:15" x14ac:dyDescent="0.35">
      <c r="B3" s="4" t="s">
        <v>13</v>
      </c>
      <c r="C3" s="4" t="s">
        <v>306</v>
      </c>
      <c r="D3" s="4" t="s">
        <v>16</v>
      </c>
      <c r="E3" s="4" t="s">
        <v>292</v>
      </c>
      <c r="F3" s="12">
        <v>44659</v>
      </c>
      <c r="G3" s="15">
        <v>112673</v>
      </c>
      <c r="I3" s="6">
        <v>68.077464788732399</v>
      </c>
      <c r="K3" s="4" t="s">
        <v>45</v>
      </c>
      <c r="L3" s="6">
        <v>4</v>
      </c>
      <c r="M3" s="4" t="s">
        <v>300</v>
      </c>
      <c r="N3" s="31">
        <v>0.02</v>
      </c>
      <c r="O3" s="15">
        <v>2253.46</v>
      </c>
    </row>
    <row r="4" spans="2:15" x14ac:dyDescent="0.35">
      <c r="B4" s="4" t="s">
        <v>18</v>
      </c>
      <c r="D4" s="4" t="s">
        <v>11</v>
      </c>
      <c r="E4" s="4" t="s">
        <v>290</v>
      </c>
      <c r="F4" s="12">
        <v>42431</v>
      </c>
      <c r="G4" s="15">
        <v>114425</v>
      </c>
      <c r="I4" s="6">
        <v>54</v>
      </c>
      <c r="K4" s="4" t="s">
        <v>30</v>
      </c>
      <c r="L4" s="6">
        <v>10</v>
      </c>
      <c r="M4" s="4" t="s">
        <v>300</v>
      </c>
      <c r="N4" s="31">
        <v>0.02</v>
      </c>
      <c r="O4" s="15">
        <v>2288.5</v>
      </c>
    </row>
    <row r="5" spans="2:15" x14ac:dyDescent="0.35">
      <c r="B5" s="4" t="s">
        <v>23</v>
      </c>
      <c r="C5" s="4" t="s">
        <v>308</v>
      </c>
      <c r="D5" s="4" t="s">
        <v>26</v>
      </c>
      <c r="E5" s="4" t="s">
        <v>291</v>
      </c>
      <c r="F5" s="12">
        <v>45110</v>
      </c>
      <c r="G5" s="15">
        <v>103831</v>
      </c>
      <c r="I5" s="6">
        <v>70</v>
      </c>
      <c r="K5" s="4" t="s">
        <v>45</v>
      </c>
      <c r="L5" s="6">
        <v>3</v>
      </c>
      <c r="M5" s="4" t="s">
        <v>300</v>
      </c>
      <c r="N5" s="31">
        <v>0.02</v>
      </c>
      <c r="O5" s="15">
        <v>2076.62</v>
      </c>
    </row>
    <row r="6" spans="2:15" x14ac:dyDescent="0.35">
      <c r="B6" s="4" t="s">
        <v>27</v>
      </c>
      <c r="C6" s="4" t="s">
        <v>309</v>
      </c>
      <c r="D6" s="4" t="s">
        <v>11</v>
      </c>
      <c r="E6" s="4" t="s">
        <v>290</v>
      </c>
      <c r="F6" s="12">
        <v>44977</v>
      </c>
      <c r="G6" s="15">
        <v>73785</v>
      </c>
      <c r="I6" s="6">
        <v>40</v>
      </c>
      <c r="K6" s="4" t="s">
        <v>30</v>
      </c>
      <c r="L6" s="6">
        <v>3</v>
      </c>
      <c r="M6" s="4" t="s">
        <v>299</v>
      </c>
      <c r="N6" s="31">
        <v>0</v>
      </c>
      <c r="O6" s="15">
        <v>0</v>
      </c>
    </row>
    <row r="7" spans="2:15" x14ac:dyDescent="0.35">
      <c r="B7" s="4" t="s">
        <v>31</v>
      </c>
      <c r="C7" s="4" t="s">
        <v>310</v>
      </c>
      <c r="D7" s="4" t="s">
        <v>33</v>
      </c>
      <c r="E7" s="4" t="s">
        <v>294</v>
      </c>
      <c r="F7" s="12">
        <v>43892</v>
      </c>
      <c r="G7" s="15">
        <v>115882</v>
      </c>
      <c r="I7" s="6">
        <v>49</v>
      </c>
      <c r="K7" s="4" t="s">
        <v>45</v>
      </c>
      <c r="L7" s="6">
        <v>6</v>
      </c>
      <c r="M7" s="4" t="s">
        <v>299</v>
      </c>
      <c r="N7" s="31">
        <v>0</v>
      </c>
      <c r="O7" s="15">
        <v>0</v>
      </c>
    </row>
    <row r="8" spans="2:15" x14ac:dyDescent="0.35">
      <c r="B8" s="4" t="s">
        <v>35</v>
      </c>
      <c r="C8" s="4" t="s">
        <v>311</v>
      </c>
      <c r="D8" s="4" t="s">
        <v>33</v>
      </c>
      <c r="E8" s="4" t="s">
        <v>294</v>
      </c>
      <c r="F8" s="12">
        <v>45272</v>
      </c>
      <c r="G8" s="15">
        <v>59980</v>
      </c>
      <c r="I8" s="6">
        <v>70</v>
      </c>
      <c r="K8" s="4" t="s">
        <v>30</v>
      </c>
      <c r="L8" s="6">
        <v>2</v>
      </c>
      <c r="M8" s="4" t="s">
        <v>300</v>
      </c>
      <c r="N8" s="31">
        <v>0.02</v>
      </c>
      <c r="O8" s="15">
        <v>1199.6000000000001</v>
      </c>
    </row>
    <row r="9" spans="2:15" x14ac:dyDescent="0.35">
      <c r="B9" s="4" t="s">
        <v>38</v>
      </c>
      <c r="C9" s="4" t="s">
        <v>312</v>
      </c>
      <c r="D9" s="4" t="s">
        <v>33</v>
      </c>
      <c r="E9" s="4" t="s">
        <v>294</v>
      </c>
      <c r="F9" s="12">
        <v>44174</v>
      </c>
      <c r="G9" s="15">
        <v>68728</v>
      </c>
      <c r="I9" s="6">
        <v>45</v>
      </c>
      <c r="K9" s="4" t="s">
        <v>45</v>
      </c>
      <c r="L9" s="6">
        <v>5</v>
      </c>
      <c r="M9" s="4" t="s">
        <v>299</v>
      </c>
      <c r="N9" s="31">
        <v>0</v>
      </c>
      <c r="O9" s="15">
        <v>0</v>
      </c>
    </row>
    <row r="10" spans="2:15" x14ac:dyDescent="0.35">
      <c r="B10" s="4" t="s">
        <v>40</v>
      </c>
      <c r="C10" s="4" t="s">
        <v>313</v>
      </c>
      <c r="D10" s="4" t="s">
        <v>26</v>
      </c>
      <c r="E10" s="4" t="s">
        <v>291</v>
      </c>
      <c r="F10" s="12">
        <v>43107</v>
      </c>
      <c r="G10" s="15">
        <v>102139</v>
      </c>
      <c r="I10" s="6">
        <v>79</v>
      </c>
      <c r="K10" s="4" t="s">
        <v>45</v>
      </c>
      <c r="L10" s="6">
        <v>8</v>
      </c>
      <c r="M10" s="4" t="s">
        <v>301</v>
      </c>
      <c r="N10" s="31">
        <v>0.05</v>
      </c>
      <c r="O10" s="15">
        <v>5106.9500000000007</v>
      </c>
    </row>
    <row r="11" spans="2:15" x14ac:dyDescent="0.35">
      <c r="B11" s="4" t="s">
        <v>42</v>
      </c>
      <c r="C11" s="4" t="s">
        <v>314</v>
      </c>
      <c r="D11" s="4" t="s">
        <v>44</v>
      </c>
      <c r="E11" s="4" t="s">
        <v>293</v>
      </c>
      <c r="F11" s="12">
        <v>42676</v>
      </c>
      <c r="G11" s="15">
        <v>94998</v>
      </c>
      <c r="I11" s="6">
        <v>58</v>
      </c>
      <c r="K11" s="4" t="s">
        <v>45</v>
      </c>
      <c r="L11" s="6">
        <v>9</v>
      </c>
      <c r="M11" s="4" t="s">
        <v>300</v>
      </c>
      <c r="N11" s="31">
        <v>0.02</v>
      </c>
      <c r="O11" s="15">
        <v>1899.96</v>
      </c>
    </row>
    <row r="12" spans="2:15" x14ac:dyDescent="0.35">
      <c r="B12" s="4" t="s">
        <v>46</v>
      </c>
      <c r="C12" s="4" t="s">
        <v>315</v>
      </c>
      <c r="D12" s="4" t="s">
        <v>44</v>
      </c>
      <c r="E12" s="4" t="s">
        <v>293</v>
      </c>
      <c r="F12" s="12">
        <v>43911</v>
      </c>
      <c r="G12" s="15">
        <v>118635</v>
      </c>
      <c r="I12" s="6">
        <v>49</v>
      </c>
      <c r="K12" s="4" t="s">
        <v>45</v>
      </c>
      <c r="L12" s="6">
        <v>6</v>
      </c>
      <c r="M12" s="4" t="s">
        <v>299</v>
      </c>
      <c r="N12" s="31">
        <v>0</v>
      </c>
      <c r="O12" s="15">
        <v>0</v>
      </c>
    </row>
    <row r="13" spans="2:15" x14ac:dyDescent="0.35">
      <c r="B13" s="4" t="s">
        <v>50</v>
      </c>
      <c r="C13" s="4" t="s">
        <v>316</v>
      </c>
      <c r="D13" s="4" t="s">
        <v>11</v>
      </c>
      <c r="E13" s="4" t="s">
        <v>290</v>
      </c>
      <c r="F13" s="12">
        <v>42425</v>
      </c>
      <c r="G13" s="15">
        <v>76918</v>
      </c>
      <c r="I13" s="6">
        <v>62</v>
      </c>
      <c r="K13" s="4" t="s">
        <v>45</v>
      </c>
      <c r="L13" s="6">
        <v>10</v>
      </c>
      <c r="M13" s="4" t="s">
        <v>300</v>
      </c>
      <c r="N13" s="31">
        <v>0.02</v>
      </c>
      <c r="O13" s="15">
        <v>1538.3600000000001</v>
      </c>
    </row>
    <row r="14" spans="2:15" x14ac:dyDescent="0.35">
      <c r="B14" s="4" t="s">
        <v>52</v>
      </c>
      <c r="C14" s="4" t="s">
        <v>317</v>
      </c>
      <c r="D14" s="4" t="s">
        <v>16</v>
      </c>
      <c r="E14" s="4" t="s">
        <v>292</v>
      </c>
      <c r="F14" s="12">
        <v>44364</v>
      </c>
      <c r="G14" s="15">
        <v>61408</v>
      </c>
      <c r="I14" s="6">
        <v>48</v>
      </c>
      <c r="K14" s="4" t="s">
        <v>45</v>
      </c>
      <c r="L14" s="6">
        <v>5</v>
      </c>
      <c r="M14" s="4" t="s">
        <v>299</v>
      </c>
      <c r="N14" s="31">
        <v>0</v>
      </c>
      <c r="O14" s="15">
        <v>0</v>
      </c>
    </row>
    <row r="15" spans="2:15" x14ac:dyDescent="0.35">
      <c r="B15" s="4" t="s">
        <v>57</v>
      </c>
      <c r="C15" s="4" t="s">
        <v>318</v>
      </c>
      <c r="D15" s="4" t="s">
        <v>16</v>
      </c>
      <c r="E15" s="4" t="s">
        <v>292</v>
      </c>
      <c r="F15" s="12">
        <v>44001</v>
      </c>
      <c r="G15" s="15">
        <v>99990</v>
      </c>
      <c r="I15" s="6">
        <v>54</v>
      </c>
      <c r="K15" s="4" t="s">
        <v>45</v>
      </c>
      <c r="L15" s="6">
        <v>6</v>
      </c>
      <c r="M15" s="4" t="s">
        <v>300</v>
      </c>
      <c r="N15" s="31">
        <v>0.02</v>
      </c>
      <c r="O15" s="15">
        <v>1999.8</v>
      </c>
    </row>
    <row r="16" spans="2:15" x14ac:dyDescent="0.35">
      <c r="B16" s="4" t="s">
        <v>58</v>
      </c>
      <c r="C16" s="4" t="s">
        <v>319</v>
      </c>
      <c r="D16" s="4" t="s">
        <v>16</v>
      </c>
      <c r="E16" s="4" t="s">
        <v>292</v>
      </c>
      <c r="F16" s="12">
        <v>43820</v>
      </c>
      <c r="G16" s="15">
        <v>80385</v>
      </c>
      <c r="I16" s="6">
        <v>68.077464788732385</v>
      </c>
      <c r="K16" s="4" t="s">
        <v>45</v>
      </c>
      <c r="L16" s="6">
        <v>6</v>
      </c>
      <c r="M16" s="4" t="s">
        <v>300</v>
      </c>
      <c r="N16" s="31">
        <v>0.02</v>
      </c>
      <c r="O16" s="15">
        <v>1607.7</v>
      </c>
    </row>
    <row r="17" spans="2:15" x14ac:dyDescent="0.35">
      <c r="B17" s="4" t="s">
        <v>62</v>
      </c>
      <c r="C17" s="4" t="s">
        <v>320</v>
      </c>
      <c r="D17" s="4" t="s">
        <v>44</v>
      </c>
      <c r="E17" s="4" t="s">
        <v>293</v>
      </c>
      <c r="F17" s="12">
        <v>45169</v>
      </c>
      <c r="G17" s="15">
        <v>65290</v>
      </c>
      <c r="I17" s="6">
        <v>68.077464788732385</v>
      </c>
      <c r="K17" s="4" t="s">
        <v>45</v>
      </c>
      <c r="L17" s="6">
        <v>2</v>
      </c>
      <c r="M17" s="4" t="s">
        <v>300</v>
      </c>
      <c r="N17" s="31">
        <v>0.02</v>
      </c>
      <c r="O17" s="15">
        <v>1305.8</v>
      </c>
    </row>
    <row r="18" spans="2:15" x14ac:dyDescent="0.35">
      <c r="B18" s="4" t="s">
        <v>63</v>
      </c>
      <c r="C18" s="4" t="s">
        <v>321</v>
      </c>
      <c r="D18" s="4" t="s">
        <v>11</v>
      </c>
      <c r="E18" s="4" t="s">
        <v>290</v>
      </c>
      <c r="F18" s="12">
        <v>42337</v>
      </c>
      <c r="G18" s="15">
        <v>105765</v>
      </c>
      <c r="I18" s="6">
        <v>68.077464788732385</v>
      </c>
      <c r="K18" s="4" t="s">
        <v>45</v>
      </c>
      <c r="L18" s="6">
        <v>10</v>
      </c>
      <c r="M18" s="4" t="s">
        <v>300</v>
      </c>
      <c r="N18" s="31">
        <v>0.02</v>
      </c>
      <c r="O18" s="15">
        <v>2115.3000000000002</v>
      </c>
    </row>
    <row r="19" spans="2:15" x14ac:dyDescent="0.35">
      <c r="B19" s="4" t="s">
        <v>65</v>
      </c>
      <c r="C19" s="4" t="s">
        <v>322</v>
      </c>
      <c r="D19" s="4" t="s">
        <v>44</v>
      </c>
      <c r="E19" s="4" t="s">
        <v>293</v>
      </c>
      <c r="F19" s="12">
        <v>42899</v>
      </c>
      <c r="G19" s="15">
        <v>102921</v>
      </c>
      <c r="I19" s="6">
        <v>68.077464788732385</v>
      </c>
      <c r="K19" s="4" t="s">
        <v>45</v>
      </c>
      <c r="L19" s="6">
        <v>9</v>
      </c>
      <c r="M19" s="4" t="s">
        <v>300</v>
      </c>
      <c r="N19" s="31">
        <v>0.02</v>
      </c>
      <c r="O19" s="15">
        <v>2058.42</v>
      </c>
    </row>
    <row r="20" spans="2:15" x14ac:dyDescent="0.35">
      <c r="B20" s="4" t="s">
        <v>50</v>
      </c>
      <c r="C20" s="4" t="s">
        <v>323</v>
      </c>
      <c r="D20" s="4" t="s">
        <v>16</v>
      </c>
      <c r="E20" s="4" t="s">
        <v>292</v>
      </c>
      <c r="F20" s="12">
        <v>43235</v>
      </c>
      <c r="G20" s="15">
        <v>73984</v>
      </c>
      <c r="I20" s="6">
        <v>68.077464788732385</v>
      </c>
      <c r="K20" s="4" t="s">
        <v>45</v>
      </c>
      <c r="L20" s="6">
        <v>8</v>
      </c>
      <c r="M20" s="4" t="s">
        <v>300</v>
      </c>
      <c r="N20" s="31">
        <v>0.02</v>
      </c>
      <c r="O20" s="15">
        <v>1479.68</v>
      </c>
    </row>
    <row r="21" spans="2:15" x14ac:dyDescent="0.35">
      <c r="B21" s="4" t="s">
        <v>67</v>
      </c>
      <c r="C21" s="4" t="s">
        <v>324</v>
      </c>
      <c r="D21" s="4" t="s">
        <v>11</v>
      </c>
      <c r="E21" s="4" t="s">
        <v>290</v>
      </c>
      <c r="F21" s="12">
        <v>42575</v>
      </c>
      <c r="G21" s="15">
        <v>83603.930769230763</v>
      </c>
      <c r="I21" s="6">
        <v>68.077464788732385</v>
      </c>
      <c r="K21" s="4" t="s">
        <v>45</v>
      </c>
      <c r="L21" s="6">
        <v>9</v>
      </c>
      <c r="M21" s="4" t="s">
        <v>300</v>
      </c>
      <c r="N21" s="31">
        <v>0.02</v>
      </c>
      <c r="O21" s="15">
        <v>1672.0786153846152</v>
      </c>
    </row>
    <row r="22" spans="2:15" x14ac:dyDescent="0.35">
      <c r="B22" s="4" t="s">
        <v>70</v>
      </c>
      <c r="C22" s="4" t="s">
        <v>325</v>
      </c>
      <c r="D22" s="4" t="s">
        <v>26</v>
      </c>
      <c r="E22" s="4" t="s">
        <v>291</v>
      </c>
      <c r="F22" s="12">
        <v>43076</v>
      </c>
      <c r="G22" s="15">
        <v>118527</v>
      </c>
      <c r="I22" s="6">
        <v>68.077464788732385</v>
      </c>
      <c r="K22" s="4" t="s">
        <v>45</v>
      </c>
      <c r="L22" s="6">
        <v>8</v>
      </c>
      <c r="M22" s="4" t="s">
        <v>300</v>
      </c>
      <c r="N22" s="31">
        <v>0.02</v>
      </c>
      <c r="O22" s="15">
        <v>2370.54</v>
      </c>
    </row>
    <row r="23" spans="2:15" x14ac:dyDescent="0.35">
      <c r="B23" s="4" t="s">
        <v>72</v>
      </c>
      <c r="C23" s="4" t="s">
        <v>306</v>
      </c>
      <c r="D23" s="4" t="s">
        <v>16</v>
      </c>
      <c r="E23" s="4" t="s">
        <v>292</v>
      </c>
      <c r="F23" s="12">
        <v>44353</v>
      </c>
      <c r="G23" s="15">
        <v>107871</v>
      </c>
      <c r="I23" s="6">
        <v>68.077464788732385</v>
      </c>
      <c r="K23" s="4" t="s">
        <v>45</v>
      </c>
      <c r="L23" s="6">
        <v>5</v>
      </c>
      <c r="M23" s="4" t="s">
        <v>300</v>
      </c>
      <c r="N23" s="31">
        <v>0.02</v>
      </c>
      <c r="O23" s="15">
        <v>2157.42</v>
      </c>
    </row>
    <row r="24" spans="2:15" x14ac:dyDescent="0.35">
      <c r="B24" s="4" t="s">
        <v>73</v>
      </c>
      <c r="C24" s="4" t="s">
        <v>326</v>
      </c>
      <c r="D24" s="4" t="s">
        <v>11</v>
      </c>
      <c r="E24" s="4" t="s">
        <v>290</v>
      </c>
      <c r="F24" s="12">
        <v>44815</v>
      </c>
      <c r="G24" s="15">
        <v>93956</v>
      </c>
      <c r="I24" s="6">
        <v>68.077464788732385</v>
      </c>
      <c r="K24" s="4" t="s">
        <v>30</v>
      </c>
      <c r="L24" s="6">
        <v>3</v>
      </c>
      <c r="M24" s="4" t="s">
        <v>300</v>
      </c>
      <c r="N24" s="31">
        <v>0.02</v>
      </c>
      <c r="O24" s="15">
        <v>1879.1200000000001</v>
      </c>
    </row>
    <row r="25" spans="2:15" x14ac:dyDescent="0.35">
      <c r="B25" s="4" t="s">
        <v>74</v>
      </c>
      <c r="C25" s="4" t="s">
        <v>327</v>
      </c>
      <c r="D25" s="4" t="s">
        <v>26</v>
      </c>
      <c r="E25" s="4" t="s">
        <v>291</v>
      </c>
      <c r="F25" s="12">
        <v>42565</v>
      </c>
      <c r="G25" s="15">
        <v>100851</v>
      </c>
      <c r="I25" s="6">
        <v>68.077464788732385</v>
      </c>
      <c r="K25" s="4" t="s">
        <v>45</v>
      </c>
      <c r="L25" s="6">
        <v>9</v>
      </c>
      <c r="M25" s="4" t="s">
        <v>300</v>
      </c>
      <c r="N25" s="31">
        <v>0.02</v>
      </c>
      <c r="O25" s="15">
        <v>2017.02</v>
      </c>
    </row>
    <row r="26" spans="2:15" x14ac:dyDescent="0.35">
      <c r="B26" s="4" t="s">
        <v>75</v>
      </c>
      <c r="C26" s="4" t="s">
        <v>328</v>
      </c>
      <c r="D26" s="4" t="s">
        <v>44</v>
      </c>
      <c r="E26" s="4" t="s">
        <v>293</v>
      </c>
      <c r="F26" s="12">
        <v>44728</v>
      </c>
      <c r="G26" s="15">
        <v>68655</v>
      </c>
      <c r="I26" s="6">
        <v>68.077464788732385</v>
      </c>
      <c r="K26" s="4" t="s">
        <v>45</v>
      </c>
      <c r="L26" s="6">
        <v>4</v>
      </c>
      <c r="M26" s="4" t="s">
        <v>300</v>
      </c>
      <c r="N26" s="31">
        <v>0.02</v>
      </c>
      <c r="O26" s="15">
        <v>1373.1000000000001</v>
      </c>
    </row>
    <row r="27" spans="2:15" x14ac:dyDescent="0.35">
      <c r="B27" s="4" t="s">
        <v>77</v>
      </c>
      <c r="C27" s="4" t="s">
        <v>329</v>
      </c>
      <c r="D27" s="4" t="s">
        <v>44</v>
      </c>
      <c r="E27" s="4" t="s">
        <v>293</v>
      </c>
      <c r="F27" s="12">
        <v>45134</v>
      </c>
      <c r="G27" s="15">
        <v>81205</v>
      </c>
      <c r="I27" s="6">
        <v>68.077464788732385</v>
      </c>
      <c r="K27" s="4" t="s">
        <v>45</v>
      </c>
      <c r="L27" s="6">
        <v>2</v>
      </c>
      <c r="M27" s="4" t="s">
        <v>300</v>
      </c>
      <c r="N27" s="31">
        <v>0.02</v>
      </c>
      <c r="O27" s="15">
        <v>1624.1000000000001</v>
      </c>
    </row>
    <row r="28" spans="2:15" x14ac:dyDescent="0.35">
      <c r="B28" s="4" t="s">
        <v>78</v>
      </c>
      <c r="C28" s="4" t="s">
        <v>311</v>
      </c>
      <c r="D28" s="4" t="s">
        <v>44</v>
      </c>
      <c r="E28" s="4" t="s">
        <v>293</v>
      </c>
      <c r="F28" s="12">
        <v>43732</v>
      </c>
      <c r="G28" s="15">
        <v>77610</v>
      </c>
      <c r="I28" s="6">
        <v>68.077464788732385</v>
      </c>
      <c r="K28" s="4" t="s">
        <v>45</v>
      </c>
      <c r="L28" s="6">
        <v>6</v>
      </c>
      <c r="M28" s="4" t="s">
        <v>300</v>
      </c>
      <c r="N28" s="31">
        <v>0.02</v>
      </c>
      <c r="O28" s="15">
        <v>1552.2</v>
      </c>
    </row>
    <row r="29" spans="2:15" x14ac:dyDescent="0.35">
      <c r="B29" s="4" t="s">
        <v>80</v>
      </c>
      <c r="C29" s="4" t="s">
        <v>320</v>
      </c>
      <c r="D29" s="4" t="s">
        <v>11</v>
      </c>
      <c r="E29" s="4" t="s">
        <v>290</v>
      </c>
      <c r="F29" s="12">
        <v>44765</v>
      </c>
      <c r="G29" s="15">
        <v>50873</v>
      </c>
      <c r="I29" s="6">
        <v>68.077464788732385</v>
      </c>
      <c r="K29" s="4" t="s">
        <v>45</v>
      </c>
      <c r="L29" s="6">
        <v>3</v>
      </c>
      <c r="M29" s="4" t="s">
        <v>300</v>
      </c>
      <c r="N29" s="31">
        <v>0.02</v>
      </c>
      <c r="O29" s="15">
        <v>1017.46</v>
      </c>
    </row>
    <row r="30" spans="2:15" x14ac:dyDescent="0.35">
      <c r="B30" s="4" t="s">
        <v>83</v>
      </c>
      <c r="C30" s="4" t="s">
        <v>330</v>
      </c>
      <c r="D30" s="4" t="s">
        <v>26</v>
      </c>
      <c r="E30" s="4" t="s">
        <v>291</v>
      </c>
      <c r="F30" s="12">
        <v>43233</v>
      </c>
      <c r="G30" s="15">
        <v>85312</v>
      </c>
      <c r="I30" s="6">
        <v>68.077464788732385</v>
      </c>
      <c r="K30" s="4" t="s">
        <v>45</v>
      </c>
      <c r="L30" s="6">
        <v>8</v>
      </c>
      <c r="M30" s="4" t="s">
        <v>300</v>
      </c>
      <c r="N30" s="31">
        <v>0.02</v>
      </c>
      <c r="O30" s="15">
        <v>1706.24</v>
      </c>
    </row>
    <row r="31" spans="2:15" x14ac:dyDescent="0.35">
      <c r="B31" s="4" t="s">
        <v>86</v>
      </c>
      <c r="C31" s="4" t="s">
        <v>331</v>
      </c>
      <c r="D31" s="4" t="s">
        <v>44</v>
      </c>
      <c r="E31" s="4" t="s">
        <v>293</v>
      </c>
      <c r="F31" s="12">
        <v>42202</v>
      </c>
      <c r="G31" s="15">
        <v>83603.930769230763</v>
      </c>
      <c r="I31" s="6">
        <v>68.077464788732385</v>
      </c>
      <c r="K31" s="4" t="s">
        <v>45</v>
      </c>
      <c r="L31" s="6">
        <v>10</v>
      </c>
      <c r="M31" s="4" t="s">
        <v>300</v>
      </c>
      <c r="N31" s="31">
        <v>0.02</v>
      </c>
      <c r="O31" s="15">
        <v>1672.0786153846152</v>
      </c>
    </row>
    <row r="32" spans="2:15" x14ac:dyDescent="0.35">
      <c r="B32" s="4" t="s">
        <v>89</v>
      </c>
      <c r="C32" s="4" t="s">
        <v>332</v>
      </c>
      <c r="D32" s="4" t="s">
        <v>33</v>
      </c>
      <c r="E32" s="4" t="s">
        <v>294</v>
      </c>
      <c r="F32" s="12">
        <v>42221</v>
      </c>
      <c r="G32" s="15">
        <v>97055</v>
      </c>
      <c r="I32" s="6">
        <v>68.077464788732385</v>
      </c>
      <c r="K32" s="4" t="s">
        <v>45</v>
      </c>
      <c r="L32" s="6">
        <v>10</v>
      </c>
      <c r="M32" s="4" t="s">
        <v>300</v>
      </c>
      <c r="N32" s="31">
        <v>0.02</v>
      </c>
      <c r="O32" s="15">
        <v>1941.1000000000001</v>
      </c>
    </row>
    <row r="33" spans="2:15" x14ac:dyDescent="0.35">
      <c r="B33" s="4" t="s">
        <v>90</v>
      </c>
      <c r="C33" s="4" t="s">
        <v>333</v>
      </c>
      <c r="D33" s="4" t="s">
        <v>11</v>
      </c>
      <c r="E33" s="4" t="s">
        <v>290</v>
      </c>
      <c r="F33" s="12">
        <v>45195</v>
      </c>
      <c r="G33" s="15">
        <v>66069</v>
      </c>
      <c r="I33" s="6">
        <v>68.077464788732385</v>
      </c>
      <c r="K33" s="4" t="s">
        <v>45</v>
      </c>
      <c r="L33" s="6">
        <v>2</v>
      </c>
      <c r="M33" s="4" t="s">
        <v>300</v>
      </c>
      <c r="N33" s="31">
        <v>0.02</v>
      </c>
      <c r="O33" s="15">
        <v>1321.38</v>
      </c>
    </row>
    <row r="34" spans="2:15" x14ac:dyDescent="0.35">
      <c r="B34" s="4" t="s">
        <v>92</v>
      </c>
      <c r="C34" s="4" t="s">
        <v>334</v>
      </c>
      <c r="D34" s="4" t="s">
        <v>11</v>
      </c>
      <c r="E34" s="4" t="s">
        <v>290</v>
      </c>
      <c r="F34" s="12">
        <v>43626</v>
      </c>
      <c r="G34" s="15">
        <v>90157</v>
      </c>
      <c r="I34" s="6">
        <v>68.077464788732385</v>
      </c>
      <c r="K34" s="4" t="s">
        <v>45</v>
      </c>
      <c r="L34" s="6">
        <v>7</v>
      </c>
      <c r="M34" s="4" t="s">
        <v>300</v>
      </c>
      <c r="N34" s="31">
        <v>0.02</v>
      </c>
      <c r="O34" s="15">
        <v>1803.14</v>
      </c>
    </row>
    <row r="35" spans="2:15" x14ac:dyDescent="0.35">
      <c r="B35" s="4" t="s">
        <v>93</v>
      </c>
      <c r="C35" s="4" t="s">
        <v>335</v>
      </c>
      <c r="D35" s="4" t="s">
        <v>97</v>
      </c>
      <c r="E35" s="4" t="s">
        <v>289</v>
      </c>
      <c r="F35" s="12">
        <v>44578</v>
      </c>
      <c r="G35" s="15">
        <v>59899</v>
      </c>
      <c r="I35" s="6">
        <v>68.077464788732385</v>
      </c>
      <c r="K35" s="4" t="s">
        <v>45</v>
      </c>
      <c r="L35" s="6">
        <v>4</v>
      </c>
      <c r="M35" s="4" t="s">
        <v>300</v>
      </c>
      <c r="N35" s="31">
        <v>0.02</v>
      </c>
      <c r="O35" s="15">
        <v>1197.98</v>
      </c>
    </row>
    <row r="36" spans="2:15" x14ac:dyDescent="0.35">
      <c r="B36" s="4" t="s">
        <v>96</v>
      </c>
      <c r="C36" s="4" t="s">
        <v>336</v>
      </c>
      <c r="D36" s="4" t="s">
        <v>26</v>
      </c>
      <c r="E36" s="4" t="s">
        <v>291</v>
      </c>
      <c r="F36" s="12">
        <v>42919</v>
      </c>
      <c r="G36" s="15">
        <v>113389</v>
      </c>
      <c r="I36" s="6">
        <v>68.077464788732385</v>
      </c>
      <c r="K36" s="4" t="s">
        <v>45</v>
      </c>
      <c r="L36" s="6">
        <v>9</v>
      </c>
      <c r="M36" s="4" t="s">
        <v>300</v>
      </c>
      <c r="N36" s="31">
        <v>0.02</v>
      </c>
      <c r="O36" s="15">
        <v>2267.7800000000002</v>
      </c>
    </row>
    <row r="37" spans="2:15" x14ac:dyDescent="0.35">
      <c r="B37" s="4" t="s">
        <v>98</v>
      </c>
      <c r="C37" s="4" t="s">
        <v>337</v>
      </c>
      <c r="D37" s="4" t="s">
        <v>11</v>
      </c>
      <c r="E37" s="4" t="s">
        <v>290</v>
      </c>
      <c r="F37" s="12">
        <v>42248</v>
      </c>
      <c r="G37" s="15">
        <v>102691</v>
      </c>
      <c r="I37" s="6">
        <v>68.077464788732385</v>
      </c>
      <c r="K37" s="4" t="s">
        <v>45</v>
      </c>
      <c r="L37" s="6">
        <v>10</v>
      </c>
      <c r="M37" s="4" t="s">
        <v>300</v>
      </c>
      <c r="N37" s="31">
        <v>0.02</v>
      </c>
      <c r="O37" s="15">
        <v>2053.8200000000002</v>
      </c>
    </row>
    <row r="38" spans="2:15" x14ac:dyDescent="0.35">
      <c r="B38" s="4" t="s">
        <v>100</v>
      </c>
      <c r="C38" s="4" t="s">
        <v>311</v>
      </c>
      <c r="D38" s="4" t="s">
        <v>33</v>
      </c>
      <c r="E38" s="4" t="s">
        <v>294</v>
      </c>
      <c r="F38" s="12">
        <v>44776</v>
      </c>
      <c r="G38" s="15">
        <v>111845</v>
      </c>
      <c r="I38" s="6">
        <v>68.077464788732385</v>
      </c>
      <c r="K38" s="4" t="s">
        <v>45</v>
      </c>
      <c r="L38" s="6">
        <v>3</v>
      </c>
      <c r="M38" s="4" t="s">
        <v>300</v>
      </c>
      <c r="N38" s="31">
        <v>0.02</v>
      </c>
      <c r="O38" s="15">
        <v>2236.9</v>
      </c>
    </row>
    <row r="39" spans="2:15" x14ac:dyDescent="0.35">
      <c r="B39" s="4" t="s">
        <v>102</v>
      </c>
      <c r="C39" s="4" t="s">
        <v>338</v>
      </c>
      <c r="D39" s="4" t="s">
        <v>44</v>
      </c>
      <c r="E39" s="4" t="s">
        <v>293</v>
      </c>
      <c r="F39" s="12">
        <v>44741</v>
      </c>
      <c r="G39" s="15">
        <v>69219</v>
      </c>
      <c r="I39" s="6">
        <v>68.077464788732385</v>
      </c>
      <c r="K39" s="4" t="s">
        <v>45</v>
      </c>
      <c r="L39" s="6">
        <v>4</v>
      </c>
      <c r="M39" s="4" t="s">
        <v>300</v>
      </c>
      <c r="N39" s="31">
        <v>0.02</v>
      </c>
      <c r="O39" s="15">
        <v>1384.38</v>
      </c>
    </row>
    <row r="40" spans="2:15" x14ac:dyDescent="0.35">
      <c r="B40" s="4" t="s">
        <v>104</v>
      </c>
      <c r="C40" s="4" t="s">
        <v>339</v>
      </c>
      <c r="D40" s="4" t="s">
        <v>26</v>
      </c>
      <c r="E40" s="4" t="s">
        <v>291</v>
      </c>
      <c r="F40" s="12">
        <v>43949</v>
      </c>
      <c r="G40" s="15">
        <v>83603.930769230763</v>
      </c>
      <c r="I40" s="6">
        <v>68.077464788732385</v>
      </c>
      <c r="K40" s="4" t="s">
        <v>30</v>
      </c>
      <c r="L40" s="6">
        <v>6</v>
      </c>
      <c r="M40" s="4" t="s">
        <v>300</v>
      </c>
      <c r="N40" s="31">
        <v>0.02</v>
      </c>
      <c r="O40" s="15">
        <v>1672.0786153846152</v>
      </c>
    </row>
    <row r="41" spans="2:15" x14ac:dyDescent="0.35">
      <c r="B41" s="4" t="s">
        <v>107</v>
      </c>
      <c r="C41" s="4" t="s">
        <v>340</v>
      </c>
      <c r="D41" s="4" t="s">
        <v>33</v>
      </c>
      <c r="E41" s="4" t="s">
        <v>294</v>
      </c>
      <c r="F41" s="12">
        <v>42987</v>
      </c>
      <c r="G41" s="15">
        <v>57514</v>
      </c>
      <c r="I41" s="6">
        <v>68.077464788732385</v>
      </c>
      <c r="K41" s="4" t="s">
        <v>45</v>
      </c>
      <c r="L41" s="6">
        <v>8</v>
      </c>
      <c r="M41" s="4" t="s">
        <v>300</v>
      </c>
      <c r="N41" s="31">
        <v>0.02</v>
      </c>
      <c r="O41" s="15">
        <v>1150.28</v>
      </c>
    </row>
    <row r="42" spans="2:15" x14ac:dyDescent="0.35">
      <c r="B42" s="4" t="s">
        <v>109</v>
      </c>
      <c r="C42" s="4" t="s">
        <v>341</v>
      </c>
      <c r="D42" s="4" t="s">
        <v>44</v>
      </c>
      <c r="E42" s="4" t="s">
        <v>293</v>
      </c>
      <c r="F42" s="12">
        <v>43181</v>
      </c>
      <c r="G42" s="15">
        <v>86245</v>
      </c>
      <c r="I42" s="6">
        <v>68.077464788732385</v>
      </c>
      <c r="K42" s="4" t="s">
        <v>30</v>
      </c>
      <c r="L42" s="6">
        <v>8</v>
      </c>
      <c r="M42" s="4" t="s">
        <v>300</v>
      </c>
      <c r="N42" s="31">
        <v>0.02</v>
      </c>
      <c r="O42" s="15">
        <v>1724.9</v>
      </c>
    </row>
    <row r="43" spans="2:15" x14ac:dyDescent="0.35">
      <c r="B43" s="4" t="s">
        <v>111</v>
      </c>
      <c r="C43" s="4" t="s">
        <v>342</v>
      </c>
      <c r="D43" s="4" t="s">
        <v>44</v>
      </c>
      <c r="E43" s="4" t="s">
        <v>293</v>
      </c>
      <c r="F43" s="12">
        <v>43958</v>
      </c>
      <c r="G43" s="15">
        <v>52407</v>
      </c>
      <c r="I43" s="6">
        <v>68.077464788732385</v>
      </c>
      <c r="K43" s="4" t="s">
        <v>45</v>
      </c>
      <c r="L43" s="6">
        <v>6</v>
      </c>
      <c r="M43" s="4" t="s">
        <v>300</v>
      </c>
      <c r="N43" s="31">
        <v>0.02</v>
      </c>
      <c r="O43" s="15">
        <v>1048.1400000000001</v>
      </c>
    </row>
    <row r="44" spans="2:15" x14ac:dyDescent="0.35">
      <c r="B44" s="4" t="s">
        <v>112</v>
      </c>
      <c r="C44" s="4" t="s">
        <v>343</v>
      </c>
      <c r="D44" s="4" t="s">
        <v>33</v>
      </c>
      <c r="E44" s="4" t="s">
        <v>294</v>
      </c>
      <c r="F44" s="12">
        <v>43549</v>
      </c>
      <c r="G44" s="15">
        <v>66606</v>
      </c>
      <c r="I44" s="6">
        <v>68.077464788732385</v>
      </c>
      <c r="K44" s="4" t="s">
        <v>116</v>
      </c>
      <c r="L44" s="6">
        <v>7</v>
      </c>
      <c r="M44" s="4" t="s">
        <v>300</v>
      </c>
      <c r="N44" s="31">
        <v>0.02</v>
      </c>
      <c r="O44" s="15">
        <v>1332.1200000000001</v>
      </c>
    </row>
    <row r="45" spans="2:15" x14ac:dyDescent="0.35">
      <c r="B45" s="4" t="s">
        <v>114</v>
      </c>
      <c r="C45" s="4" t="s">
        <v>344</v>
      </c>
      <c r="D45" s="4" t="s">
        <v>11</v>
      </c>
      <c r="E45" s="4" t="s">
        <v>290</v>
      </c>
      <c r="F45" s="12">
        <v>43686</v>
      </c>
      <c r="G45" s="15">
        <v>81896</v>
      </c>
      <c r="I45" s="6">
        <v>68.077464788732385</v>
      </c>
      <c r="K45" s="4" t="s">
        <v>116</v>
      </c>
      <c r="L45" s="6">
        <v>6</v>
      </c>
      <c r="M45" s="4" t="s">
        <v>300</v>
      </c>
      <c r="N45" s="31">
        <v>0.02</v>
      </c>
      <c r="O45" s="15">
        <v>1637.92</v>
      </c>
    </row>
    <row r="46" spans="2:15" x14ac:dyDescent="0.35">
      <c r="B46" s="4" t="s">
        <v>117</v>
      </c>
      <c r="C46" s="4" t="s">
        <v>345</v>
      </c>
      <c r="D46" s="4" t="s">
        <v>44</v>
      </c>
      <c r="E46" s="4" t="s">
        <v>293</v>
      </c>
      <c r="F46" s="12">
        <v>42565</v>
      </c>
      <c r="G46" s="15">
        <v>78402</v>
      </c>
      <c r="I46" s="6">
        <v>68.077464788732385</v>
      </c>
      <c r="K46" s="4" t="s">
        <v>45</v>
      </c>
      <c r="L46" s="6">
        <v>9</v>
      </c>
      <c r="M46" s="4" t="s">
        <v>300</v>
      </c>
      <c r="N46" s="31">
        <v>0.02</v>
      </c>
      <c r="O46" s="15">
        <v>1568.04</v>
      </c>
    </row>
    <row r="47" spans="2:15" x14ac:dyDescent="0.35">
      <c r="B47" s="4" t="s">
        <v>118</v>
      </c>
      <c r="C47" s="4" t="s">
        <v>346</v>
      </c>
      <c r="D47" s="4" t="s">
        <v>33</v>
      </c>
      <c r="E47" s="4" t="s">
        <v>294</v>
      </c>
      <c r="F47" s="12">
        <v>42647</v>
      </c>
      <c r="G47" s="15">
        <v>105498</v>
      </c>
      <c r="I47" s="6">
        <v>68.077464788732385</v>
      </c>
      <c r="K47" s="4" t="s">
        <v>45</v>
      </c>
      <c r="L47" s="6">
        <v>9</v>
      </c>
      <c r="M47" s="4" t="s">
        <v>300</v>
      </c>
      <c r="N47" s="31">
        <v>0.02</v>
      </c>
      <c r="O47" s="15">
        <v>2109.96</v>
      </c>
    </row>
    <row r="48" spans="2:15" x14ac:dyDescent="0.35">
      <c r="B48" s="4" t="s">
        <v>120</v>
      </c>
      <c r="C48" s="4" t="s">
        <v>347</v>
      </c>
      <c r="D48" s="4" t="s">
        <v>16</v>
      </c>
      <c r="E48" s="4" t="s">
        <v>292</v>
      </c>
      <c r="F48" s="12">
        <v>43656</v>
      </c>
      <c r="G48" s="15">
        <v>91749</v>
      </c>
      <c r="I48" s="6">
        <v>68.077464788732385</v>
      </c>
      <c r="K48" s="4" t="s">
        <v>30</v>
      </c>
      <c r="L48" s="6">
        <v>6</v>
      </c>
      <c r="M48" s="4" t="s">
        <v>300</v>
      </c>
      <c r="N48" s="31">
        <v>0.02</v>
      </c>
      <c r="O48" s="15">
        <v>1834.98</v>
      </c>
    </row>
    <row r="49" spans="2:15" x14ac:dyDescent="0.35">
      <c r="B49" s="4" t="s">
        <v>121</v>
      </c>
      <c r="C49" s="4" t="s">
        <v>348</v>
      </c>
      <c r="D49" s="4" t="s">
        <v>33</v>
      </c>
      <c r="E49" s="4" t="s">
        <v>294</v>
      </c>
      <c r="F49" s="12">
        <v>44437</v>
      </c>
      <c r="G49" s="15">
        <v>99935</v>
      </c>
      <c r="I49" s="6">
        <v>68.077464788732385</v>
      </c>
      <c r="K49" s="4" t="s">
        <v>116</v>
      </c>
      <c r="L49" s="6">
        <v>4</v>
      </c>
      <c r="M49" s="4" t="s">
        <v>300</v>
      </c>
      <c r="N49" s="31">
        <v>0.02</v>
      </c>
      <c r="O49" s="15">
        <v>1998.7</v>
      </c>
    </row>
    <row r="50" spans="2:15" x14ac:dyDescent="0.35">
      <c r="B50" s="4" t="s">
        <v>123</v>
      </c>
      <c r="C50" s="4" t="s">
        <v>349</v>
      </c>
      <c r="D50" s="4" t="s">
        <v>11</v>
      </c>
      <c r="E50" s="4" t="s">
        <v>290</v>
      </c>
      <c r="F50" s="12">
        <v>42761</v>
      </c>
      <c r="G50" s="15">
        <v>83531</v>
      </c>
      <c r="I50" s="6">
        <v>68.077464788732385</v>
      </c>
      <c r="K50" s="4" t="s">
        <v>30</v>
      </c>
      <c r="L50" s="6">
        <v>9</v>
      </c>
      <c r="M50" s="4" t="s">
        <v>300</v>
      </c>
      <c r="N50" s="31">
        <v>0.02</v>
      </c>
      <c r="O50" s="15">
        <v>1670.6200000000001</v>
      </c>
    </row>
    <row r="51" spans="2:15" x14ac:dyDescent="0.35">
      <c r="B51" s="4" t="s">
        <v>124</v>
      </c>
      <c r="C51" s="4" t="s">
        <v>350</v>
      </c>
      <c r="D51" s="4" t="s">
        <v>16</v>
      </c>
      <c r="E51" s="4" t="s">
        <v>292</v>
      </c>
      <c r="F51" s="12">
        <v>43981</v>
      </c>
      <c r="G51" s="15">
        <v>75023</v>
      </c>
      <c r="I51" s="6">
        <v>68.077464788732385</v>
      </c>
      <c r="K51" s="4" t="s">
        <v>45</v>
      </c>
      <c r="L51" s="6">
        <v>6</v>
      </c>
      <c r="M51" s="4" t="s">
        <v>300</v>
      </c>
      <c r="N51" s="31">
        <v>0.02</v>
      </c>
      <c r="O51" s="15">
        <v>1500.46</v>
      </c>
    </row>
    <row r="52" spans="2:15" x14ac:dyDescent="0.35">
      <c r="B52" s="4" t="s">
        <v>125</v>
      </c>
      <c r="C52" s="4" t="s">
        <v>351</v>
      </c>
      <c r="D52" s="4" t="s">
        <v>97</v>
      </c>
      <c r="E52" s="4" t="s">
        <v>289</v>
      </c>
      <c r="F52" s="12">
        <v>44612</v>
      </c>
      <c r="G52" s="15">
        <v>93290</v>
      </c>
      <c r="I52" s="6">
        <v>68.077464788732385</v>
      </c>
      <c r="K52" s="4" t="s">
        <v>45</v>
      </c>
      <c r="L52" s="6">
        <v>4</v>
      </c>
      <c r="M52" s="4" t="s">
        <v>300</v>
      </c>
      <c r="N52" s="31">
        <v>0.02</v>
      </c>
      <c r="O52" s="15">
        <v>1865.8</v>
      </c>
    </row>
    <row r="53" spans="2:15" x14ac:dyDescent="0.35">
      <c r="B53" s="4" t="s">
        <v>127</v>
      </c>
      <c r="C53" s="4" t="s">
        <v>352</v>
      </c>
      <c r="D53" s="4" t="s">
        <v>33</v>
      </c>
      <c r="E53" s="4" t="s">
        <v>294</v>
      </c>
      <c r="F53" s="12">
        <v>42628</v>
      </c>
      <c r="G53" s="15">
        <v>115527</v>
      </c>
      <c r="I53" s="6">
        <v>68.077464788732385</v>
      </c>
      <c r="K53" s="4" t="s">
        <v>116</v>
      </c>
      <c r="L53" s="6">
        <v>9</v>
      </c>
      <c r="M53" s="4" t="s">
        <v>300</v>
      </c>
      <c r="N53" s="31">
        <v>0.02</v>
      </c>
      <c r="O53" s="15">
        <v>2310.54</v>
      </c>
    </row>
    <row r="54" spans="2:15" x14ac:dyDescent="0.35">
      <c r="B54" s="4" t="s">
        <v>128</v>
      </c>
      <c r="C54" s="4" t="s">
        <v>320</v>
      </c>
      <c r="D54" s="4" t="s">
        <v>26</v>
      </c>
      <c r="E54" s="4" t="s">
        <v>291</v>
      </c>
      <c r="F54" s="12">
        <v>43745</v>
      </c>
      <c r="G54" s="15">
        <v>55920</v>
      </c>
      <c r="I54" s="6">
        <v>68.077464788732385</v>
      </c>
      <c r="K54" s="4" t="s">
        <v>45</v>
      </c>
      <c r="L54" s="6">
        <v>6</v>
      </c>
      <c r="M54" s="4" t="s">
        <v>300</v>
      </c>
      <c r="N54" s="31">
        <v>0.02</v>
      </c>
      <c r="O54" s="15">
        <v>1118.4000000000001</v>
      </c>
    </row>
    <row r="55" spans="2:15" x14ac:dyDescent="0.35">
      <c r="B55" s="4" t="s">
        <v>129</v>
      </c>
      <c r="C55" s="4" t="s">
        <v>310</v>
      </c>
      <c r="D55" s="4" t="s">
        <v>44</v>
      </c>
      <c r="E55" s="4" t="s">
        <v>293</v>
      </c>
      <c r="F55" s="12">
        <v>43464</v>
      </c>
      <c r="G55" s="15">
        <v>80189</v>
      </c>
      <c r="I55" s="6">
        <v>68.077464788732385</v>
      </c>
      <c r="K55" s="4" t="s">
        <v>45</v>
      </c>
      <c r="L55" s="6">
        <v>7</v>
      </c>
      <c r="M55" s="4" t="s">
        <v>300</v>
      </c>
      <c r="N55" s="31">
        <v>0.02</v>
      </c>
      <c r="O55" s="15">
        <v>1603.78</v>
      </c>
    </row>
    <row r="56" spans="2:15" x14ac:dyDescent="0.35">
      <c r="B56" s="4" t="s">
        <v>131</v>
      </c>
      <c r="C56" s="4" t="s">
        <v>353</v>
      </c>
      <c r="D56" s="4" t="s">
        <v>97</v>
      </c>
      <c r="E56" s="4" t="s">
        <v>289</v>
      </c>
      <c r="F56" s="12">
        <v>44189</v>
      </c>
      <c r="G56" s="15">
        <v>118947</v>
      </c>
      <c r="I56" s="6">
        <v>68.077464788732385</v>
      </c>
      <c r="K56" s="4" t="s">
        <v>45</v>
      </c>
      <c r="L56" s="6">
        <v>5</v>
      </c>
      <c r="M56" s="4" t="s">
        <v>300</v>
      </c>
      <c r="N56" s="31">
        <v>0.02</v>
      </c>
      <c r="O56" s="15">
        <v>2378.94</v>
      </c>
    </row>
    <row r="57" spans="2:15" x14ac:dyDescent="0.35">
      <c r="B57" s="4" t="s">
        <v>132</v>
      </c>
      <c r="C57" s="4" t="s">
        <v>354</v>
      </c>
      <c r="D57" s="4" t="s">
        <v>11</v>
      </c>
      <c r="E57" s="4" t="s">
        <v>290</v>
      </c>
      <c r="F57" s="12">
        <v>45112</v>
      </c>
      <c r="G57" s="15">
        <v>83603.930769230763</v>
      </c>
      <c r="I57" s="6">
        <v>68.077464788732385</v>
      </c>
      <c r="K57" s="4" t="s">
        <v>45</v>
      </c>
      <c r="L57" s="6">
        <v>3</v>
      </c>
      <c r="M57" s="4" t="s">
        <v>300</v>
      </c>
      <c r="N57" s="31">
        <v>0.02</v>
      </c>
      <c r="O57" s="15">
        <v>1672.0786153846152</v>
      </c>
    </row>
    <row r="58" spans="2:15" x14ac:dyDescent="0.35">
      <c r="B58" s="4" t="s">
        <v>134</v>
      </c>
      <c r="C58" s="4" t="s">
        <v>355</v>
      </c>
      <c r="D58" s="4" t="s">
        <v>33</v>
      </c>
      <c r="E58" s="4" t="s">
        <v>294</v>
      </c>
      <c r="F58" s="12">
        <v>44148</v>
      </c>
      <c r="G58" s="15">
        <v>83603.930769230763</v>
      </c>
      <c r="I58" s="6">
        <v>68.077464788732385</v>
      </c>
      <c r="K58" s="4" t="s">
        <v>45</v>
      </c>
      <c r="L58" s="6">
        <v>5</v>
      </c>
      <c r="M58" s="4" t="s">
        <v>300</v>
      </c>
      <c r="N58" s="31">
        <v>0.02</v>
      </c>
      <c r="O58" s="15">
        <v>1672.0786153846152</v>
      </c>
    </row>
    <row r="59" spans="2:15" x14ac:dyDescent="0.35">
      <c r="B59" s="4" t="s">
        <v>136</v>
      </c>
      <c r="C59" s="4" t="s">
        <v>356</v>
      </c>
      <c r="D59" s="4" t="s">
        <v>97</v>
      </c>
      <c r="E59" s="4" t="s">
        <v>289</v>
      </c>
      <c r="F59" s="12">
        <v>43138</v>
      </c>
      <c r="G59" s="15">
        <v>91655</v>
      </c>
      <c r="I59" s="6">
        <v>68.077464788732385</v>
      </c>
      <c r="K59" s="4" t="s">
        <v>45</v>
      </c>
      <c r="L59" s="6">
        <v>8</v>
      </c>
      <c r="M59" s="4" t="s">
        <v>300</v>
      </c>
      <c r="N59" s="31">
        <v>0.02</v>
      </c>
      <c r="O59" s="15">
        <v>1833.1000000000001</v>
      </c>
    </row>
    <row r="60" spans="2:15" x14ac:dyDescent="0.35">
      <c r="B60" s="4" t="s">
        <v>137</v>
      </c>
      <c r="C60" s="4" t="s">
        <v>305</v>
      </c>
      <c r="D60" s="4" t="s">
        <v>11</v>
      </c>
      <c r="E60" s="4" t="s">
        <v>290</v>
      </c>
      <c r="F60" s="12">
        <v>45255</v>
      </c>
      <c r="G60" s="15">
        <v>49435</v>
      </c>
      <c r="I60" s="6">
        <v>68.077464788732385</v>
      </c>
      <c r="K60" s="4" t="s">
        <v>30</v>
      </c>
      <c r="L60" s="6">
        <v>2</v>
      </c>
      <c r="M60" s="4" t="s">
        <v>300</v>
      </c>
      <c r="N60" s="31">
        <v>0.02</v>
      </c>
      <c r="O60" s="15">
        <v>988.7</v>
      </c>
    </row>
    <row r="61" spans="2:15" x14ac:dyDescent="0.35">
      <c r="B61" s="4" t="s">
        <v>140</v>
      </c>
      <c r="C61" s="4" t="s">
        <v>341</v>
      </c>
      <c r="D61" s="4" t="s">
        <v>44</v>
      </c>
      <c r="E61" s="4" t="s">
        <v>293</v>
      </c>
      <c r="F61" s="12">
        <v>45217</v>
      </c>
      <c r="G61" s="15">
        <v>110381</v>
      </c>
      <c r="I61" s="6">
        <v>68.077464788732385</v>
      </c>
      <c r="K61" s="4" t="s">
        <v>45</v>
      </c>
      <c r="L61" s="6">
        <v>2</v>
      </c>
      <c r="M61" s="4" t="s">
        <v>300</v>
      </c>
      <c r="N61" s="31">
        <v>0.02</v>
      </c>
      <c r="O61" s="15">
        <v>2207.62</v>
      </c>
    </row>
    <row r="62" spans="2:15" x14ac:dyDescent="0.35">
      <c r="B62" s="4" t="s">
        <v>141</v>
      </c>
      <c r="C62" s="4" t="s">
        <v>357</v>
      </c>
      <c r="D62" s="4" t="s">
        <v>97</v>
      </c>
      <c r="E62" s="4" t="s">
        <v>289</v>
      </c>
      <c r="F62" s="12">
        <v>44079</v>
      </c>
      <c r="G62" s="15">
        <v>114748</v>
      </c>
      <c r="I62" s="6">
        <v>68.077464788732385</v>
      </c>
      <c r="K62" s="4" t="s">
        <v>45</v>
      </c>
      <c r="L62" s="6">
        <v>5</v>
      </c>
      <c r="M62" s="4" t="s">
        <v>300</v>
      </c>
      <c r="N62" s="31">
        <v>0.02</v>
      </c>
      <c r="O62" s="15">
        <v>2294.96</v>
      </c>
    </row>
    <row r="63" spans="2:15" x14ac:dyDescent="0.35">
      <c r="B63" s="4" t="s">
        <v>142</v>
      </c>
      <c r="C63" s="4" t="s">
        <v>358</v>
      </c>
      <c r="D63" s="4" t="s">
        <v>33</v>
      </c>
      <c r="E63" s="4" t="s">
        <v>294</v>
      </c>
      <c r="F63" s="12">
        <v>42800</v>
      </c>
      <c r="G63" s="15">
        <v>63302</v>
      </c>
      <c r="I63" s="6">
        <v>68.077464788732385</v>
      </c>
      <c r="K63" s="4" t="s">
        <v>45</v>
      </c>
      <c r="L63" s="6">
        <v>9</v>
      </c>
      <c r="M63" s="4" t="s">
        <v>300</v>
      </c>
      <c r="N63" s="31">
        <v>0.02</v>
      </c>
      <c r="O63" s="15">
        <v>1266.04</v>
      </c>
    </row>
    <row r="64" spans="2:15" x14ac:dyDescent="0.35">
      <c r="B64" s="4" t="s">
        <v>143</v>
      </c>
      <c r="C64" s="4" t="s">
        <v>359</v>
      </c>
      <c r="D64" s="4" t="s">
        <v>11</v>
      </c>
      <c r="E64" s="4" t="s">
        <v>290</v>
      </c>
      <c r="F64" s="12">
        <v>42122</v>
      </c>
      <c r="G64" s="15">
        <v>75519</v>
      </c>
      <c r="I64" s="6">
        <v>68.077464788732385</v>
      </c>
      <c r="K64" s="4" t="s">
        <v>45</v>
      </c>
      <c r="L64" s="6">
        <v>11</v>
      </c>
      <c r="M64" s="4" t="s">
        <v>300</v>
      </c>
      <c r="N64" s="31">
        <v>0.02</v>
      </c>
      <c r="O64" s="15">
        <v>1510.38</v>
      </c>
    </row>
    <row r="65" spans="2:15" x14ac:dyDescent="0.35">
      <c r="B65" s="4" t="s">
        <v>144</v>
      </c>
      <c r="C65" s="4" t="s">
        <v>351</v>
      </c>
      <c r="D65" s="4" t="s">
        <v>26</v>
      </c>
      <c r="E65" s="4" t="s">
        <v>291</v>
      </c>
      <c r="F65" s="12">
        <v>42838</v>
      </c>
      <c r="G65" s="15">
        <v>103891</v>
      </c>
      <c r="I65" s="6">
        <v>68.077464788732385</v>
      </c>
      <c r="K65" s="4" t="s">
        <v>45</v>
      </c>
      <c r="L65" s="6">
        <v>9</v>
      </c>
      <c r="M65" s="4" t="s">
        <v>300</v>
      </c>
      <c r="N65" s="31">
        <v>0.02</v>
      </c>
      <c r="O65" s="15">
        <v>2077.8200000000002</v>
      </c>
    </row>
    <row r="66" spans="2:15" x14ac:dyDescent="0.35">
      <c r="B66" s="4" t="s">
        <v>146</v>
      </c>
      <c r="C66" s="4" t="s">
        <v>360</v>
      </c>
      <c r="D66" s="4" t="s">
        <v>33</v>
      </c>
      <c r="E66" s="4" t="s">
        <v>294</v>
      </c>
      <c r="F66" s="12">
        <v>44827</v>
      </c>
      <c r="G66" s="15">
        <v>83603.930769230763</v>
      </c>
      <c r="I66" s="6">
        <v>68.077464788732385</v>
      </c>
      <c r="K66" s="4" t="s">
        <v>30</v>
      </c>
      <c r="L66" s="6">
        <v>3</v>
      </c>
      <c r="M66" s="4" t="s">
        <v>300</v>
      </c>
      <c r="N66" s="31">
        <v>0.02</v>
      </c>
      <c r="O66" s="15">
        <v>1672.0786153846152</v>
      </c>
    </row>
    <row r="67" spans="2:15" x14ac:dyDescent="0.35">
      <c r="B67" s="4" t="s">
        <v>147</v>
      </c>
      <c r="C67" s="4" t="s">
        <v>361</v>
      </c>
      <c r="D67" s="4" t="s">
        <v>16</v>
      </c>
      <c r="E67" s="4" t="s">
        <v>292</v>
      </c>
      <c r="F67" s="12">
        <v>42685</v>
      </c>
      <c r="G67" s="15">
        <v>50936</v>
      </c>
      <c r="I67" s="6">
        <v>68.077464788732385</v>
      </c>
      <c r="K67" s="4" t="s">
        <v>45</v>
      </c>
      <c r="L67" s="6">
        <v>9</v>
      </c>
      <c r="M67" s="4" t="s">
        <v>300</v>
      </c>
      <c r="N67" s="31">
        <v>0.02</v>
      </c>
      <c r="O67" s="15">
        <v>1018.72</v>
      </c>
    </row>
    <row r="68" spans="2:15" x14ac:dyDescent="0.35">
      <c r="B68" s="4" t="s">
        <v>148</v>
      </c>
      <c r="C68" s="4" t="s">
        <v>362</v>
      </c>
      <c r="D68" s="4" t="s">
        <v>44</v>
      </c>
      <c r="E68" s="4" t="s">
        <v>293</v>
      </c>
      <c r="F68" s="12">
        <v>42818</v>
      </c>
      <c r="G68" s="15">
        <v>111240</v>
      </c>
      <c r="I68" s="6">
        <v>68.077464788732385</v>
      </c>
      <c r="K68" s="4" t="s">
        <v>45</v>
      </c>
      <c r="L68" s="6">
        <v>9</v>
      </c>
      <c r="M68" s="4" t="s">
        <v>300</v>
      </c>
      <c r="N68" s="31">
        <v>0.02</v>
      </c>
      <c r="O68" s="15">
        <v>2224.8000000000002</v>
      </c>
    </row>
    <row r="69" spans="2:15" x14ac:dyDescent="0.35">
      <c r="B69" s="4" t="s">
        <v>151</v>
      </c>
      <c r="C69" s="4" t="s">
        <v>363</v>
      </c>
      <c r="D69" s="4" t="s">
        <v>97</v>
      </c>
      <c r="E69" s="4" t="s">
        <v>289</v>
      </c>
      <c r="F69" s="12">
        <v>43590</v>
      </c>
      <c r="G69" s="15">
        <v>51567</v>
      </c>
      <c r="I69" s="6">
        <v>68.077464788732385</v>
      </c>
      <c r="K69" s="4" t="s">
        <v>116</v>
      </c>
      <c r="L69" s="6">
        <v>7</v>
      </c>
      <c r="M69" s="4" t="s">
        <v>300</v>
      </c>
      <c r="N69" s="31">
        <v>0.02</v>
      </c>
      <c r="O69" s="15">
        <v>1031.3399999999999</v>
      </c>
    </row>
    <row r="70" spans="2:15" x14ac:dyDescent="0.35">
      <c r="B70" s="4" t="s">
        <v>154</v>
      </c>
      <c r="C70" s="4" t="s">
        <v>364</v>
      </c>
      <c r="D70" s="4" t="s">
        <v>97</v>
      </c>
      <c r="E70" s="4" t="s">
        <v>289</v>
      </c>
      <c r="F70" s="12">
        <v>44402</v>
      </c>
      <c r="G70" s="15">
        <v>83603.930769230763</v>
      </c>
      <c r="I70" s="6">
        <v>68.077464788732385</v>
      </c>
      <c r="K70" s="4" t="s">
        <v>45</v>
      </c>
      <c r="L70" s="6">
        <v>4</v>
      </c>
      <c r="M70" s="4" t="s">
        <v>300</v>
      </c>
      <c r="N70" s="31">
        <v>0.02</v>
      </c>
      <c r="O70" s="15">
        <v>1672.0786153846152</v>
      </c>
    </row>
    <row r="71" spans="2:15" x14ac:dyDescent="0.35">
      <c r="B71" s="4" t="s">
        <v>156</v>
      </c>
      <c r="C71" s="4" t="s">
        <v>359</v>
      </c>
      <c r="D71" s="4" t="s">
        <v>97</v>
      </c>
      <c r="E71" s="4" t="s">
        <v>289</v>
      </c>
      <c r="F71" s="12">
        <v>43008</v>
      </c>
      <c r="G71" s="15">
        <v>55270</v>
      </c>
      <c r="I71" s="6">
        <v>68.077464788732385</v>
      </c>
      <c r="K71" s="4" t="s">
        <v>45</v>
      </c>
      <c r="L71" s="6">
        <v>8</v>
      </c>
      <c r="M71" s="4" t="s">
        <v>300</v>
      </c>
      <c r="N71" s="31">
        <v>0.02</v>
      </c>
      <c r="O71" s="15">
        <v>1105.4000000000001</v>
      </c>
    </row>
    <row r="72" spans="2:15" x14ac:dyDescent="0.35">
      <c r="B72" s="4" t="s">
        <v>158</v>
      </c>
      <c r="C72" s="4" t="s">
        <v>365</v>
      </c>
      <c r="D72" s="4" t="s">
        <v>44</v>
      </c>
      <c r="E72" s="4" t="s">
        <v>293</v>
      </c>
      <c r="F72" s="12">
        <v>42192</v>
      </c>
      <c r="G72" s="15">
        <v>65235</v>
      </c>
      <c r="I72" s="6">
        <v>68.077464788732385</v>
      </c>
      <c r="K72" s="4" t="s">
        <v>45</v>
      </c>
      <c r="L72" s="6">
        <v>10</v>
      </c>
      <c r="M72" s="4" t="s">
        <v>300</v>
      </c>
      <c r="N72" s="31">
        <v>0.02</v>
      </c>
      <c r="O72" s="15">
        <v>1304.7</v>
      </c>
    </row>
    <row r="73" spans="2:15" x14ac:dyDescent="0.35">
      <c r="B73" s="4" t="s">
        <v>159</v>
      </c>
      <c r="C73" s="4" t="s">
        <v>366</v>
      </c>
      <c r="D73" s="4" t="s">
        <v>44</v>
      </c>
      <c r="E73" s="4" t="s">
        <v>293</v>
      </c>
      <c r="F73" s="12">
        <v>43283</v>
      </c>
      <c r="G73" s="15">
        <v>83603.930769230763</v>
      </c>
      <c r="I73" s="6">
        <v>68.077464788732385</v>
      </c>
      <c r="K73" s="4" t="s">
        <v>30</v>
      </c>
      <c r="L73" s="6">
        <v>8</v>
      </c>
      <c r="M73" s="4" t="s">
        <v>300</v>
      </c>
      <c r="N73" s="31">
        <v>0.02</v>
      </c>
      <c r="O73" s="15">
        <v>1672.0786153846152</v>
      </c>
    </row>
    <row r="74" spans="2:15" x14ac:dyDescent="0.35">
      <c r="B74" s="4" t="s">
        <v>161</v>
      </c>
      <c r="C74" s="4" t="s">
        <v>367</v>
      </c>
      <c r="D74" s="4" t="s">
        <v>44</v>
      </c>
      <c r="E74" s="4" t="s">
        <v>293</v>
      </c>
      <c r="F74" s="12">
        <v>44819</v>
      </c>
      <c r="G74" s="15">
        <v>83603.930769230763</v>
      </c>
      <c r="I74" s="6">
        <v>68.077464788732385</v>
      </c>
      <c r="K74" s="4" t="s">
        <v>30</v>
      </c>
      <c r="L74" s="6">
        <v>3</v>
      </c>
      <c r="M74" s="4" t="s">
        <v>300</v>
      </c>
      <c r="N74" s="31">
        <v>0.02</v>
      </c>
      <c r="O74" s="15">
        <v>1672.0786153846152</v>
      </c>
    </row>
    <row r="75" spans="2:15" x14ac:dyDescent="0.35">
      <c r="B75" s="4" t="s">
        <v>162</v>
      </c>
      <c r="C75" s="4" t="s">
        <v>368</v>
      </c>
      <c r="D75" s="4" t="s">
        <v>44</v>
      </c>
      <c r="E75" s="4" t="s">
        <v>293</v>
      </c>
      <c r="F75" s="12">
        <v>42249</v>
      </c>
      <c r="G75" s="15">
        <v>83603.930769230763</v>
      </c>
      <c r="I75" s="6">
        <v>68.077464788732385</v>
      </c>
      <c r="K75" s="4" t="s">
        <v>45</v>
      </c>
      <c r="L75" s="6">
        <v>10</v>
      </c>
      <c r="M75" s="4" t="s">
        <v>300</v>
      </c>
      <c r="N75" s="31">
        <v>0.02</v>
      </c>
      <c r="O75" s="15">
        <v>1672.0786153846152</v>
      </c>
    </row>
    <row r="76" spans="2:15" x14ac:dyDescent="0.35">
      <c r="B76" s="4" t="s">
        <v>143</v>
      </c>
      <c r="C76" s="4" t="s">
        <v>369</v>
      </c>
      <c r="D76" s="4" t="s">
        <v>33</v>
      </c>
      <c r="E76" s="4" t="s">
        <v>294</v>
      </c>
      <c r="F76" s="12">
        <v>42654</v>
      </c>
      <c r="G76" s="15">
        <v>48823</v>
      </c>
      <c r="I76" s="6">
        <v>68.077464788732385</v>
      </c>
      <c r="K76" s="4" t="s">
        <v>45</v>
      </c>
      <c r="L76" s="6">
        <v>9</v>
      </c>
      <c r="M76" s="4" t="s">
        <v>300</v>
      </c>
      <c r="N76" s="31">
        <v>0.02</v>
      </c>
      <c r="O76" s="15">
        <v>976.46</v>
      </c>
    </row>
    <row r="77" spans="2:15" x14ac:dyDescent="0.35">
      <c r="B77" s="4" t="s">
        <v>163</v>
      </c>
      <c r="C77" s="4" t="s">
        <v>368</v>
      </c>
      <c r="D77" s="4" t="s">
        <v>26</v>
      </c>
      <c r="E77" s="4" t="s">
        <v>291</v>
      </c>
      <c r="F77" s="12">
        <v>43575</v>
      </c>
      <c r="G77" s="15">
        <v>45196</v>
      </c>
      <c r="I77" s="6">
        <v>68.077464788732385</v>
      </c>
      <c r="K77" s="4" t="s">
        <v>30</v>
      </c>
      <c r="L77" s="6">
        <v>7</v>
      </c>
      <c r="M77" s="4" t="s">
        <v>300</v>
      </c>
      <c r="N77" s="31">
        <v>0.02</v>
      </c>
      <c r="O77" s="15">
        <v>903.92000000000007</v>
      </c>
    </row>
    <row r="78" spans="2:15" x14ac:dyDescent="0.35">
      <c r="B78" s="4" t="s">
        <v>164</v>
      </c>
      <c r="C78" s="4" t="s">
        <v>370</v>
      </c>
      <c r="D78" s="4" t="s">
        <v>11</v>
      </c>
      <c r="E78" s="4" t="s">
        <v>290</v>
      </c>
      <c r="F78" s="12">
        <v>42785</v>
      </c>
      <c r="G78" s="15">
        <v>86246</v>
      </c>
      <c r="I78" s="6">
        <v>68.077464788732385</v>
      </c>
      <c r="K78" s="4" t="s">
        <v>45</v>
      </c>
      <c r="L78" s="6">
        <v>9</v>
      </c>
      <c r="M78" s="4" t="s">
        <v>300</v>
      </c>
      <c r="N78" s="31">
        <v>0.02</v>
      </c>
      <c r="O78" s="15">
        <v>1724.92</v>
      </c>
    </row>
    <row r="79" spans="2:15" x14ac:dyDescent="0.35">
      <c r="B79" s="4" t="s">
        <v>167</v>
      </c>
      <c r="C79" s="4" t="s">
        <v>315</v>
      </c>
      <c r="D79" s="4" t="s">
        <v>44</v>
      </c>
      <c r="E79" s="4" t="s">
        <v>293</v>
      </c>
      <c r="F79" s="12">
        <v>44446</v>
      </c>
      <c r="G79" s="15">
        <v>70359</v>
      </c>
      <c r="I79" s="6">
        <v>68.077464788732385</v>
      </c>
      <c r="K79" s="4" t="s">
        <v>30</v>
      </c>
      <c r="L79" s="6">
        <v>4</v>
      </c>
      <c r="M79" s="4" t="s">
        <v>300</v>
      </c>
      <c r="N79" s="31">
        <v>0.02</v>
      </c>
      <c r="O79" s="15">
        <v>1407.18</v>
      </c>
    </row>
    <row r="80" spans="2:15" x14ac:dyDescent="0.35">
      <c r="B80" s="4" t="s">
        <v>168</v>
      </c>
      <c r="C80" s="4" t="s">
        <v>340</v>
      </c>
      <c r="D80" s="4" t="s">
        <v>16</v>
      </c>
      <c r="E80" s="4" t="s">
        <v>292</v>
      </c>
      <c r="F80" s="12">
        <v>43599</v>
      </c>
      <c r="G80" s="15">
        <v>83603.930769230763</v>
      </c>
      <c r="I80" s="6">
        <v>68.077464788732385</v>
      </c>
      <c r="K80" s="4" t="s">
        <v>45</v>
      </c>
      <c r="L80" s="6">
        <v>7</v>
      </c>
      <c r="M80" s="4" t="s">
        <v>300</v>
      </c>
      <c r="N80" s="31">
        <v>0.02</v>
      </c>
      <c r="O80" s="15">
        <v>1672.0786153846152</v>
      </c>
    </row>
    <row r="81" spans="2:15" x14ac:dyDescent="0.35">
      <c r="B81" s="4" t="s">
        <v>171</v>
      </c>
      <c r="C81" s="4" t="s">
        <v>371</v>
      </c>
      <c r="D81" s="4" t="s">
        <v>33</v>
      </c>
      <c r="E81" s="4" t="s">
        <v>294</v>
      </c>
      <c r="F81" s="12">
        <v>42330</v>
      </c>
      <c r="G81" s="15">
        <v>86480</v>
      </c>
      <c r="I81" s="6">
        <v>68.077464788732385</v>
      </c>
      <c r="K81" s="4" t="s">
        <v>45</v>
      </c>
      <c r="L81" s="6">
        <v>10</v>
      </c>
      <c r="M81" s="4" t="s">
        <v>300</v>
      </c>
      <c r="N81" s="31">
        <v>0.02</v>
      </c>
      <c r="O81" s="15">
        <v>1729.6000000000001</v>
      </c>
    </row>
    <row r="82" spans="2:15" x14ac:dyDescent="0.35">
      <c r="B82" s="4" t="s">
        <v>173</v>
      </c>
      <c r="C82" s="4" t="s">
        <v>372</v>
      </c>
      <c r="D82" s="4" t="s">
        <v>97</v>
      </c>
      <c r="E82" s="4" t="s">
        <v>289</v>
      </c>
      <c r="F82" s="12">
        <v>43372</v>
      </c>
      <c r="G82" s="15">
        <v>47694</v>
      </c>
      <c r="I82" s="6">
        <v>68.077464788732385</v>
      </c>
      <c r="K82" s="4" t="s">
        <v>45</v>
      </c>
      <c r="L82" s="6">
        <v>7</v>
      </c>
      <c r="M82" s="4" t="s">
        <v>300</v>
      </c>
      <c r="N82" s="31">
        <v>0.02</v>
      </c>
      <c r="O82" s="15">
        <v>953.88</v>
      </c>
    </row>
    <row r="83" spans="2:15" x14ac:dyDescent="0.35">
      <c r="B83" s="4" t="s">
        <v>90</v>
      </c>
      <c r="C83" s="4" t="s">
        <v>373</v>
      </c>
      <c r="D83" s="4" t="s">
        <v>11</v>
      </c>
      <c r="E83" s="4" t="s">
        <v>290</v>
      </c>
      <c r="F83" s="12">
        <v>45171</v>
      </c>
      <c r="G83" s="15">
        <v>83724</v>
      </c>
      <c r="I83" s="6">
        <v>68.077464788732385</v>
      </c>
      <c r="K83" s="4" t="s">
        <v>116</v>
      </c>
      <c r="L83" s="6">
        <v>2</v>
      </c>
      <c r="M83" s="4" t="s">
        <v>300</v>
      </c>
      <c r="N83" s="31">
        <v>0.02</v>
      </c>
      <c r="O83" s="15">
        <v>1674.48</v>
      </c>
    </row>
    <row r="84" spans="2:15" x14ac:dyDescent="0.35">
      <c r="B84" s="4" t="s">
        <v>174</v>
      </c>
      <c r="C84" s="4" t="s">
        <v>374</v>
      </c>
      <c r="D84" s="4" t="s">
        <v>26</v>
      </c>
      <c r="E84" s="4" t="s">
        <v>291</v>
      </c>
      <c r="F84" s="12">
        <v>44759</v>
      </c>
      <c r="G84" s="15">
        <v>98299</v>
      </c>
      <c r="I84" s="6">
        <v>68.077464788732385</v>
      </c>
      <c r="K84" s="4" t="s">
        <v>45</v>
      </c>
      <c r="L84" s="6">
        <v>3</v>
      </c>
      <c r="M84" s="4" t="s">
        <v>300</v>
      </c>
      <c r="N84" s="31">
        <v>0.02</v>
      </c>
      <c r="O84" s="15">
        <v>1965.98</v>
      </c>
    </row>
    <row r="85" spans="2:15" x14ac:dyDescent="0.35">
      <c r="B85" s="4" t="s">
        <v>175</v>
      </c>
      <c r="C85" s="4" t="s">
        <v>375</v>
      </c>
      <c r="D85" s="4" t="s">
        <v>26</v>
      </c>
      <c r="E85" s="4" t="s">
        <v>291</v>
      </c>
      <c r="F85" s="12">
        <v>44234</v>
      </c>
      <c r="G85" s="15">
        <v>83603.930769230763</v>
      </c>
      <c r="I85" s="6">
        <v>68.077464788732385</v>
      </c>
      <c r="K85" s="4" t="s">
        <v>45</v>
      </c>
      <c r="L85" s="6">
        <v>5</v>
      </c>
      <c r="M85" s="4" t="s">
        <v>300</v>
      </c>
      <c r="N85" s="31">
        <v>0.02</v>
      </c>
      <c r="O85" s="15">
        <v>1672.0786153846152</v>
      </c>
    </row>
    <row r="86" spans="2:15" x14ac:dyDescent="0.35">
      <c r="B86" s="4" t="s">
        <v>178</v>
      </c>
      <c r="C86" s="4" t="s">
        <v>376</v>
      </c>
      <c r="D86" s="4" t="s">
        <v>11</v>
      </c>
      <c r="E86" s="4" t="s">
        <v>290</v>
      </c>
      <c r="F86" s="12">
        <v>45203</v>
      </c>
      <c r="G86" s="15">
        <v>52287</v>
      </c>
      <c r="I86" s="6">
        <v>68.077464788732385</v>
      </c>
      <c r="K86" s="4" t="s">
        <v>45</v>
      </c>
      <c r="L86" s="6">
        <v>2</v>
      </c>
      <c r="M86" s="4" t="s">
        <v>300</v>
      </c>
      <c r="N86" s="31">
        <v>0.02</v>
      </c>
      <c r="O86" s="15">
        <v>1045.74</v>
      </c>
    </row>
    <row r="87" spans="2:15" x14ac:dyDescent="0.35">
      <c r="B87" s="4" t="s">
        <v>179</v>
      </c>
      <c r="C87" s="4" t="s">
        <v>363</v>
      </c>
      <c r="D87" s="4" t="s">
        <v>11</v>
      </c>
      <c r="E87" s="4" t="s">
        <v>290</v>
      </c>
      <c r="F87" s="12">
        <v>44073</v>
      </c>
      <c r="G87" s="15">
        <v>82633</v>
      </c>
      <c r="I87" s="6">
        <v>68.077464788732385</v>
      </c>
      <c r="K87" s="4" t="s">
        <v>45</v>
      </c>
      <c r="L87" s="6">
        <v>5</v>
      </c>
      <c r="M87" s="4" t="s">
        <v>300</v>
      </c>
      <c r="N87" s="31">
        <v>0.02</v>
      </c>
      <c r="O87" s="15">
        <v>1652.66</v>
      </c>
    </row>
    <row r="88" spans="2:15" x14ac:dyDescent="0.35">
      <c r="B88" s="4" t="s">
        <v>180</v>
      </c>
      <c r="C88" s="4" t="s">
        <v>377</v>
      </c>
      <c r="D88" s="4" t="s">
        <v>33</v>
      </c>
      <c r="E88" s="4" t="s">
        <v>294</v>
      </c>
      <c r="F88" s="12">
        <v>44422</v>
      </c>
      <c r="G88" s="15">
        <v>46508</v>
      </c>
      <c r="I88" s="6">
        <v>68.077464788732385</v>
      </c>
      <c r="K88" s="4" t="s">
        <v>45</v>
      </c>
      <c r="L88" s="6">
        <v>4</v>
      </c>
      <c r="M88" s="4" t="s">
        <v>300</v>
      </c>
      <c r="N88" s="31">
        <v>0.02</v>
      </c>
      <c r="O88" s="15">
        <v>930.16</v>
      </c>
    </row>
    <row r="89" spans="2:15" x14ac:dyDescent="0.35">
      <c r="B89" s="4" t="s">
        <v>182</v>
      </c>
      <c r="C89" s="4" t="s">
        <v>307</v>
      </c>
      <c r="D89" s="4" t="s">
        <v>97</v>
      </c>
      <c r="E89" s="4" t="s">
        <v>289</v>
      </c>
      <c r="F89" s="12">
        <v>43796</v>
      </c>
      <c r="G89" s="15">
        <v>86232</v>
      </c>
      <c r="I89" s="6">
        <v>68.077464788732385</v>
      </c>
      <c r="K89" s="4" t="s">
        <v>45</v>
      </c>
      <c r="L89" s="6">
        <v>6</v>
      </c>
      <c r="M89" s="4" t="s">
        <v>300</v>
      </c>
      <c r="N89" s="31">
        <v>0.02</v>
      </c>
      <c r="O89" s="15">
        <v>1724.64</v>
      </c>
    </row>
    <row r="90" spans="2:15" x14ac:dyDescent="0.35">
      <c r="B90" s="4" t="s">
        <v>184</v>
      </c>
      <c r="C90" s="4" t="s">
        <v>351</v>
      </c>
      <c r="D90" s="4" t="s">
        <v>11</v>
      </c>
      <c r="E90" s="4" t="s">
        <v>290</v>
      </c>
      <c r="F90" s="12">
        <v>42880</v>
      </c>
      <c r="G90" s="15">
        <v>77545</v>
      </c>
      <c r="I90" s="6">
        <v>68.077464788732385</v>
      </c>
      <c r="K90" s="4" t="s">
        <v>45</v>
      </c>
      <c r="L90" s="6">
        <v>9</v>
      </c>
      <c r="M90" s="4" t="s">
        <v>300</v>
      </c>
      <c r="N90" s="31">
        <v>0.02</v>
      </c>
      <c r="O90" s="15">
        <v>1550.9</v>
      </c>
    </row>
    <row r="91" spans="2:15" x14ac:dyDescent="0.35">
      <c r="B91" s="4" t="s">
        <v>185</v>
      </c>
      <c r="C91" s="4" t="s">
        <v>378</v>
      </c>
      <c r="D91" s="4" t="s">
        <v>33</v>
      </c>
      <c r="E91" s="4" t="s">
        <v>294</v>
      </c>
      <c r="F91" s="12">
        <v>43436</v>
      </c>
      <c r="G91" s="15">
        <v>68683</v>
      </c>
      <c r="I91" s="6">
        <v>68.077464788732385</v>
      </c>
      <c r="K91" s="4" t="s">
        <v>45</v>
      </c>
      <c r="L91" s="6">
        <v>7</v>
      </c>
      <c r="M91" s="4" t="s">
        <v>300</v>
      </c>
      <c r="N91" s="31">
        <v>0.02</v>
      </c>
      <c r="O91" s="15">
        <v>1373.66</v>
      </c>
    </row>
    <row r="92" spans="2:15" x14ac:dyDescent="0.35">
      <c r="B92" s="4" t="s">
        <v>186</v>
      </c>
      <c r="C92" s="4" t="s">
        <v>361</v>
      </c>
      <c r="D92" s="4" t="s">
        <v>26</v>
      </c>
      <c r="E92" s="4" t="s">
        <v>291</v>
      </c>
      <c r="F92" s="12">
        <v>43639</v>
      </c>
      <c r="G92" s="15">
        <v>83932</v>
      </c>
      <c r="I92" s="6">
        <v>68.077464788732385</v>
      </c>
      <c r="K92" s="4" t="s">
        <v>30</v>
      </c>
      <c r="L92" s="6">
        <v>7</v>
      </c>
      <c r="M92" s="4" t="s">
        <v>300</v>
      </c>
      <c r="N92" s="31">
        <v>0.02</v>
      </c>
      <c r="O92" s="15">
        <v>1678.64</v>
      </c>
    </row>
    <row r="93" spans="2:15" x14ac:dyDescent="0.35">
      <c r="B93" s="4" t="s">
        <v>188</v>
      </c>
      <c r="C93" s="4" t="s">
        <v>379</v>
      </c>
      <c r="D93" s="4" t="s">
        <v>97</v>
      </c>
      <c r="E93" s="4" t="s">
        <v>289</v>
      </c>
      <c r="F93" s="12">
        <v>42304</v>
      </c>
      <c r="G93" s="15">
        <v>56073</v>
      </c>
      <c r="I93" s="6">
        <v>68.077464788732385</v>
      </c>
      <c r="K93" s="4" t="s">
        <v>45</v>
      </c>
      <c r="L93" s="6">
        <v>10</v>
      </c>
      <c r="M93" s="4" t="s">
        <v>300</v>
      </c>
      <c r="N93" s="31">
        <v>0.02</v>
      </c>
      <c r="O93" s="15">
        <v>1121.46</v>
      </c>
    </row>
    <row r="94" spans="2:15" x14ac:dyDescent="0.35">
      <c r="B94" s="4" t="s">
        <v>191</v>
      </c>
      <c r="C94" s="4" t="s">
        <v>347</v>
      </c>
      <c r="D94" s="4" t="s">
        <v>11</v>
      </c>
      <c r="E94" s="4" t="s">
        <v>290</v>
      </c>
      <c r="F94" s="12">
        <v>43270</v>
      </c>
      <c r="G94" s="15">
        <v>88056</v>
      </c>
      <c r="I94" s="6">
        <v>68.077464788732385</v>
      </c>
      <c r="K94" s="4" t="s">
        <v>45</v>
      </c>
      <c r="L94" s="6">
        <v>8</v>
      </c>
      <c r="M94" s="4" t="s">
        <v>300</v>
      </c>
      <c r="N94" s="31">
        <v>0.02</v>
      </c>
      <c r="O94" s="15">
        <v>1761.1200000000001</v>
      </c>
    </row>
    <row r="95" spans="2:15" x14ac:dyDescent="0.35">
      <c r="B95" s="4" t="s">
        <v>192</v>
      </c>
      <c r="C95" s="4" t="s">
        <v>380</v>
      </c>
      <c r="D95" s="4" t="s">
        <v>33</v>
      </c>
      <c r="E95" s="4" t="s">
        <v>294</v>
      </c>
      <c r="F95" s="12">
        <v>43112</v>
      </c>
      <c r="G95" s="15">
        <v>67414</v>
      </c>
      <c r="I95" s="6">
        <v>68.077464788732385</v>
      </c>
      <c r="K95" s="4" t="s">
        <v>30</v>
      </c>
      <c r="L95" s="6">
        <v>8</v>
      </c>
      <c r="M95" s="4" t="s">
        <v>300</v>
      </c>
      <c r="N95" s="31">
        <v>0.02</v>
      </c>
      <c r="O95" s="15">
        <v>1348.28</v>
      </c>
    </row>
    <row r="96" spans="2:15" x14ac:dyDescent="0.35">
      <c r="B96" s="4" t="s">
        <v>193</v>
      </c>
      <c r="C96" s="4" t="s">
        <v>378</v>
      </c>
      <c r="D96" s="4" t="s">
        <v>44</v>
      </c>
      <c r="E96" s="4" t="s">
        <v>293</v>
      </c>
      <c r="F96" s="12">
        <v>42008</v>
      </c>
      <c r="G96" s="15">
        <v>115288</v>
      </c>
      <c r="I96" s="6">
        <v>68.077464788732385</v>
      </c>
      <c r="K96" s="4" t="s">
        <v>45</v>
      </c>
      <c r="L96" s="6">
        <v>11</v>
      </c>
      <c r="M96" s="4" t="s">
        <v>300</v>
      </c>
      <c r="N96" s="31">
        <v>0.02</v>
      </c>
      <c r="O96" s="15">
        <v>2305.7600000000002</v>
      </c>
    </row>
    <row r="97" spans="2:15" x14ac:dyDescent="0.35">
      <c r="B97" s="4" t="s">
        <v>194</v>
      </c>
      <c r="C97" s="4" t="s">
        <v>381</v>
      </c>
      <c r="D97" s="4" t="s">
        <v>44</v>
      </c>
      <c r="E97" s="4" t="s">
        <v>293</v>
      </c>
      <c r="F97" s="12">
        <v>43439</v>
      </c>
      <c r="G97" s="15">
        <v>80140</v>
      </c>
      <c r="I97" s="6">
        <v>68.077464788732385</v>
      </c>
      <c r="K97" s="4" t="s">
        <v>45</v>
      </c>
      <c r="L97" s="6">
        <v>7</v>
      </c>
      <c r="M97" s="4" t="s">
        <v>300</v>
      </c>
      <c r="N97" s="31">
        <v>0.02</v>
      </c>
      <c r="O97" s="15">
        <v>1602.8</v>
      </c>
    </row>
    <row r="98" spans="2:15" x14ac:dyDescent="0.35">
      <c r="B98" s="4" t="s">
        <v>196</v>
      </c>
      <c r="C98" s="4" t="s">
        <v>376</v>
      </c>
      <c r="D98" s="4" t="s">
        <v>11</v>
      </c>
      <c r="E98" s="4" t="s">
        <v>290</v>
      </c>
      <c r="F98" s="12">
        <v>44482</v>
      </c>
      <c r="G98" s="15">
        <v>73087</v>
      </c>
      <c r="I98" s="6">
        <v>68.077464788732385</v>
      </c>
      <c r="K98" s="4" t="s">
        <v>45</v>
      </c>
      <c r="L98" s="6">
        <v>4</v>
      </c>
      <c r="M98" s="4" t="s">
        <v>300</v>
      </c>
      <c r="N98" s="31">
        <v>0.02</v>
      </c>
      <c r="O98" s="15">
        <v>1461.74</v>
      </c>
    </row>
    <row r="99" spans="2:15" x14ac:dyDescent="0.35">
      <c r="B99" s="4" t="s">
        <v>197</v>
      </c>
      <c r="C99" s="4" t="s">
        <v>382</v>
      </c>
      <c r="D99" s="4" t="s">
        <v>44</v>
      </c>
      <c r="E99" s="4" t="s">
        <v>293</v>
      </c>
      <c r="F99" s="12">
        <v>44081</v>
      </c>
      <c r="G99" s="15">
        <v>95292</v>
      </c>
      <c r="I99" s="6">
        <v>68.077464788732385</v>
      </c>
      <c r="K99" s="4" t="s">
        <v>45</v>
      </c>
      <c r="L99" s="6">
        <v>5</v>
      </c>
      <c r="M99" s="4" t="s">
        <v>300</v>
      </c>
      <c r="N99" s="31">
        <v>0.02</v>
      </c>
      <c r="O99" s="15">
        <v>1905.8400000000001</v>
      </c>
    </row>
    <row r="100" spans="2:15" x14ac:dyDescent="0.35">
      <c r="B100" s="4" t="s">
        <v>199</v>
      </c>
      <c r="C100" s="4" t="s">
        <v>383</v>
      </c>
      <c r="D100" s="4" t="s">
        <v>11</v>
      </c>
      <c r="E100" s="4" t="s">
        <v>290</v>
      </c>
      <c r="F100" s="12">
        <v>43532</v>
      </c>
      <c r="G100" s="15">
        <v>83603.930769230763</v>
      </c>
      <c r="I100" s="6">
        <v>68.077464788732385</v>
      </c>
      <c r="K100" s="4" t="s">
        <v>45</v>
      </c>
      <c r="L100" s="6">
        <v>7</v>
      </c>
      <c r="M100" s="4" t="s">
        <v>300</v>
      </c>
      <c r="N100" s="31">
        <v>0.02</v>
      </c>
      <c r="O100" s="15">
        <v>1672.0786153846152</v>
      </c>
    </row>
    <row r="101" spans="2:15" x14ac:dyDescent="0.35">
      <c r="B101" s="4" t="s">
        <v>200</v>
      </c>
      <c r="C101" s="4" t="s">
        <v>384</v>
      </c>
      <c r="D101" s="4" t="s">
        <v>16</v>
      </c>
      <c r="E101" s="4" t="s">
        <v>292</v>
      </c>
      <c r="F101" s="12">
        <v>42074</v>
      </c>
      <c r="G101" s="15">
        <v>101750</v>
      </c>
      <c r="I101" s="6">
        <v>68.077464788732385</v>
      </c>
      <c r="K101" s="4" t="s">
        <v>30</v>
      </c>
      <c r="L101" s="6">
        <v>11</v>
      </c>
      <c r="M101" s="4" t="s">
        <v>300</v>
      </c>
      <c r="N101" s="31">
        <v>0.02</v>
      </c>
      <c r="O101" s="15">
        <v>2035</v>
      </c>
    </row>
    <row r="102" spans="2:15" x14ac:dyDescent="0.35">
      <c r="B102" s="4" t="s">
        <v>201</v>
      </c>
      <c r="C102" s="4" t="s">
        <v>385</v>
      </c>
      <c r="D102" s="4" t="s">
        <v>16</v>
      </c>
      <c r="E102" s="4" t="s">
        <v>292</v>
      </c>
      <c r="F102" s="12">
        <v>42785</v>
      </c>
      <c r="G102" s="15">
        <v>82992</v>
      </c>
      <c r="I102" s="6">
        <v>68.077464788732385</v>
      </c>
      <c r="K102" s="4" t="s">
        <v>45</v>
      </c>
      <c r="L102" s="6">
        <v>9</v>
      </c>
      <c r="M102" s="4" t="s">
        <v>300</v>
      </c>
      <c r="N102" s="31">
        <v>0.02</v>
      </c>
      <c r="O102" s="15">
        <v>1659.8400000000001</v>
      </c>
    </row>
    <row r="103" spans="2:15" x14ac:dyDescent="0.35">
      <c r="B103" s="4" t="s">
        <v>202</v>
      </c>
      <c r="C103" s="4" t="s">
        <v>386</v>
      </c>
      <c r="D103" s="4" t="s">
        <v>11</v>
      </c>
      <c r="E103" s="4" t="s">
        <v>290</v>
      </c>
      <c r="F103" s="12">
        <v>45055</v>
      </c>
      <c r="G103" s="15">
        <v>49942</v>
      </c>
      <c r="I103" s="6">
        <v>68.077464788732385</v>
      </c>
      <c r="K103" s="4" t="s">
        <v>45</v>
      </c>
      <c r="L103" s="6">
        <v>3</v>
      </c>
      <c r="M103" s="4" t="s">
        <v>300</v>
      </c>
      <c r="N103" s="31">
        <v>0.02</v>
      </c>
      <c r="O103" s="15">
        <v>998.84</v>
      </c>
    </row>
    <row r="104" spans="2:15" x14ac:dyDescent="0.35">
      <c r="B104" s="4" t="s">
        <v>204</v>
      </c>
      <c r="C104" s="4" t="s">
        <v>387</v>
      </c>
      <c r="D104" s="4" t="s">
        <v>33</v>
      </c>
      <c r="E104" s="4" t="s">
        <v>294</v>
      </c>
      <c r="F104" s="12">
        <v>43122</v>
      </c>
      <c r="G104" s="15">
        <v>89060</v>
      </c>
      <c r="I104" s="6">
        <v>68.077464788732385</v>
      </c>
      <c r="K104" s="4" t="s">
        <v>45</v>
      </c>
      <c r="L104" s="6">
        <v>8</v>
      </c>
      <c r="M104" s="4" t="s">
        <v>300</v>
      </c>
      <c r="N104" s="31">
        <v>0.02</v>
      </c>
      <c r="O104" s="15">
        <v>1781.2</v>
      </c>
    </row>
    <row r="105" spans="2:15" x14ac:dyDescent="0.35">
      <c r="B105" s="4" t="s">
        <v>206</v>
      </c>
      <c r="C105" s="4" t="s">
        <v>367</v>
      </c>
      <c r="D105" s="4" t="s">
        <v>11</v>
      </c>
      <c r="E105" s="4" t="s">
        <v>290</v>
      </c>
      <c r="F105" s="12">
        <v>43879</v>
      </c>
      <c r="G105" s="15">
        <v>53786</v>
      </c>
      <c r="I105" s="6">
        <v>68.077464788732385</v>
      </c>
      <c r="K105" s="4" t="s">
        <v>45</v>
      </c>
      <c r="L105" s="6">
        <v>6</v>
      </c>
      <c r="M105" s="4" t="s">
        <v>300</v>
      </c>
      <c r="N105" s="31">
        <v>0.02</v>
      </c>
      <c r="O105" s="15">
        <v>1075.72</v>
      </c>
    </row>
    <row r="106" spans="2:15" x14ac:dyDescent="0.35">
      <c r="B106" s="4" t="s">
        <v>208</v>
      </c>
      <c r="C106" s="4" t="s">
        <v>310</v>
      </c>
      <c r="D106" s="4" t="s">
        <v>33</v>
      </c>
      <c r="E106" s="4" t="s">
        <v>294</v>
      </c>
      <c r="F106" s="12">
        <v>42512</v>
      </c>
      <c r="G106" s="15">
        <v>81167</v>
      </c>
      <c r="I106" s="6">
        <v>68.077464788732385</v>
      </c>
      <c r="K106" s="4" t="s">
        <v>45</v>
      </c>
      <c r="L106" s="6">
        <v>10</v>
      </c>
      <c r="M106" s="4" t="s">
        <v>300</v>
      </c>
      <c r="N106" s="31">
        <v>0.02</v>
      </c>
      <c r="O106" s="15">
        <v>1623.3400000000001</v>
      </c>
    </row>
    <row r="107" spans="2:15" x14ac:dyDescent="0.35">
      <c r="B107" s="4" t="s">
        <v>210</v>
      </c>
      <c r="C107" s="4" t="s">
        <v>388</v>
      </c>
      <c r="D107" s="4" t="s">
        <v>16</v>
      </c>
      <c r="E107" s="4" t="s">
        <v>292</v>
      </c>
      <c r="F107" s="12">
        <v>44349</v>
      </c>
      <c r="G107" s="15">
        <v>66688</v>
      </c>
      <c r="I107" s="6">
        <v>40</v>
      </c>
      <c r="K107" s="4" t="s">
        <v>30</v>
      </c>
      <c r="L107" s="6">
        <v>5</v>
      </c>
      <c r="M107" s="4" t="s">
        <v>299</v>
      </c>
      <c r="N107" s="31">
        <v>0</v>
      </c>
      <c r="O107" s="15">
        <v>0</v>
      </c>
    </row>
    <row r="108" spans="2:15" x14ac:dyDescent="0.35">
      <c r="B108" s="4" t="s">
        <v>211</v>
      </c>
      <c r="C108" s="4" t="s">
        <v>389</v>
      </c>
      <c r="D108" s="4" t="s">
        <v>11</v>
      </c>
      <c r="E108" s="4" t="s">
        <v>290</v>
      </c>
      <c r="F108" s="12">
        <v>44394</v>
      </c>
      <c r="G108" s="15">
        <v>91672</v>
      </c>
      <c r="I108" s="6">
        <v>88</v>
      </c>
      <c r="K108" s="4" t="s">
        <v>45</v>
      </c>
      <c r="L108" s="6">
        <v>4</v>
      </c>
      <c r="M108" s="4" t="s">
        <v>302</v>
      </c>
      <c r="N108" s="31">
        <v>0.08</v>
      </c>
      <c r="O108" s="15">
        <v>7333.76</v>
      </c>
    </row>
    <row r="109" spans="2:15" x14ac:dyDescent="0.35">
      <c r="B109" s="4" t="s">
        <v>212</v>
      </c>
      <c r="C109" s="4" t="s">
        <v>390</v>
      </c>
      <c r="D109" s="4" t="s">
        <v>97</v>
      </c>
      <c r="E109" s="4" t="s">
        <v>289</v>
      </c>
      <c r="F109" s="12">
        <v>42687</v>
      </c>
      <c r="G109" s="15">
        <v>77737</v>
      </c>
      <c r="I109" s="6">
        <v>77</v>
      </c>
      <c r="K109" s="4" t="s">
        <v>45</v>
      </c>
      <c r="L109" s="6">
        <v>9</v>
      </c>
      <c r="M109" s="4" t="s">
        <v>301</v>
      </c>
      <c r="N109" s="31">
        <v>0.05</v>
      </c>
      <c r="O109" s="15">
        <v>3886.8500000000004</v>
      </c>
    </row>
    <row r="110" spans="2:15" x14ac:dyDescent="0.35">
      <c r="B110" s="4" t="s">
        <v>214</v>
      </c>
      <c r="C110" s="4" t="s">
        <v>340</v>
      </c>
      <c r="D110" s="4" t="s">
        <v>44</v>
      </c>
      <c r="E110" s="4" t="s">
        <v>293</v>
      </c>
      <c r="F110" s="12">
        <v>43513</v>
      </c>
      <c r="G110" s="15">
        <v>95686</v>
      </c>
      <c r="I110" s="6">
        <v>91</v>
      </c>
      <c r="K110" s="4" t="s">
        <v>45</v>
      </c>
      <c r="L110" s="6">
        <v>7</v>
      </c>
      <c r="M110" s="4" t="s">
        <v>302</v>
      </c>
      <c r="N110" s="31">
        <v>0.08</v>
      </c>
      <c r="O110" s="15">
        <v>7654.88</v>
      </c>
    </row>
    <row r="111" spans="2:15" x14ac:dyDescent="0.35">
      <c r="B111" s="4" t="s">
        <v>215</v>
      </c>
      <c r="C111" s="4" t="s">
        <v>312</v>
      </c>
      <c r="D111" s="4" t="s">
        <v>44</v>
      </c>
      <c r="E111" s="4" t="s">
        <v>293</v>
      </c>
      <c r="F111" s="12">
        <v>42625</v>
      </c>
      <c r="G111" s="15">
        <v>114681</v>
      </c>
      <c r="I111" s="6">
        <v>36</v>
      </c>
      <c r="K111" s="4" t="s">
        <v>45</v>
      </c>
      <c r="L111" s="6">
        <v>9</v>
      </c>
      <c r="M111" s="4" t="s">
        <v>299</v>
      </c>
      <c r="N111" s="31">
        <v>0</v>
      </c>
      <c r="O111" s="15">
        <v>0</v>
      </c>
    </row>
    <row r="112" spans="2:15" x14ac:dyDescent="0.35">
      <c r="B112" s="4" t="s">
        <v>216</v>
      </c>
      <c r="C112" s="4" t="s">
        <v>361</v>
      </c>
      <c r="D112" s="4" t="s">
        <v>33</v>
      </c>
      <c r="E112" s="4" t="s">
        <v>294</v>
      </c>
      <c r="F112" s="12">
        <v>44421</v>
      </c>
      <c r="G112" s="15">
        <v>109121</v>
      </c>
      <c r="I112" s="6">
        <v>72</v>
      </c>
      <c r="K112" s="4" t="s">
        <v>45</v>
      </c>
      <c r="L112" s="6">
        <v>4</v>
      </c>
      <c r="M112" s="4" t="s">
        <v>301</v>
      </c>
      <c r="N112" s="31">
        <v>0.05</v>
      </c>
      <c r="O112" s="15">
        <v>5456.05</v>
      </c>
    </row>
    <row r="113" spans="2:15" x14ac:dyDescent="0.35">
      <c r="B113" s="4" t="s">
        <v>219</v>
      </c>
      <c r="C113" s="4" t="s">
        <v>391</v>
      </c>
      <c r="D113" s="4" t="s">
        <v>16</v>
      </c>
      <c r="E113" s="4" t="s">
        <v>292</v>
      </c>
      <c r="F113" s="12">
        <v>43996</v>
      </c>
      <c r="G113" s="15">
        <v>112791</v>
      </c>
      <c r="I113" s="6">
        <v>87</v>
      </c>
      <c r="K113" s="4" t="s">
        <v>45</v>
      </c>
      <c r="L113" s="6">
        <v>6</v>
      </c>
      <c r="M113" s="4" t="s">
        <v>302</v>
      </c>
      <c r="N113" s="31">
        <v>0.08</v>
      </c>
      <c r="O113" s="15">
        <v>9023.2800000000007</v>
      </c>
    </row>
    <row r="114" spans="2:15" x14ac:dyDescent="0.35">
      <c r="B114" s="4" t="s">
        <v>221</v>
      </c>
      <c r="C114" s="4" t="s">
        <v>392</v>
      </c>
      <c r="D114" s="4" t="s">
        <v>11</v>
      </c>
      <c r="E114" s="4" t="s">
        <v>290</v>
      </c>
      <c r="F114" s="12">
        <v>44747</v>
      </c>
      <c r="G114" s="15">
        <v>118008</v>
      </c>
      <c r="I114" s="6">
        <v>71</v>
      </c>
      <c r="K114" s="4" t="s">
        <v>45</v>
      </c>
      <c r="L114" s="6">
        <v>4</v>
      </c>
      <c r="M114" s="4" t="s">
        <v>301</v>
      </c>
      <c r="N114" s="31">
        <v>0.05</v>
      </c>
      <c r="O114" s="15">
        <v>5900.4000000000005</v>
      </c>
    </row>
    <row r="115" spans="2:15" x14ac:dyDescent="0.35">
      <c r="B115" s="4" t="s">
        <v>222</v>
      </c>
      <c r="C115" s="4" t="s">
        <v>380</v>
      </c>
      <c r="D115" s="4" t="s">
        <v>11</v>
      </c>
      <c r="E115" s="4" t="s">
        <v>290</v>
      </c>
      <c r="F115" s="12">
        <v>42561</v>
      </c>
      <c r="G115" s="15">
        <v>74370</v>
      </c>
      <c r="I115" s="6">
        <v>82</v>
      </c>
      <c r="K115" s="4" t="s">
        <v>45</v>
      </c>
      <c r="L115" s="6">
        <v>9</v>
      </c>
      <c r="M115" s="4" t="s">
        <v>301</v>
      </c>
      <c r="N115" s="31">
        <v>0.05</v>
      </c>
      <c r="O115" s="15">
        <v>3718.5</v>
      </c>
    </row>
    <row r="116" spans="2:15" x14ac:dyDescent="0.35">
      <c r="B116" s="4" t="s">
        <v>225</v>
      </c>
      <c r="C116" s="4" t="s">
        <v>393</v>
      </c>
      <c r="D116" s="4" t="s">
        <v>11</v>
      </c>
      <c r="E116" s="4" t="s">
        <v>290</v>
      </c>
      <c r="F116" s="12">
        <v>44674</v>
      </c>
      <c r="G116" s="15">
        <v>77819</v>
      </c>
      <c r="I116" s="6">
        <v>79</v>
      </c>
      <c r="K116" s="4" t="s">
        <v>45</v>
      </c>
      <c r="L116" s="6">
        <v>4</v>
      </c>
      <c r="M116" s="4" t="s">
        <v>301</v>
      </c>
      <c r="N116" s="31">
        <v>0.05</v>
      </c>
      <c r="O116" s="15">
        <v>3890.9500000000003</v>
      </c>
    </row>
    <row r="117" spans="2:15" x14ac:dyDescent="0.35">
      <c r="B117" s="4" t="s">
        <v>227</v>
      </c>
      <c r="C117" s="4" t="s">
        <v>318</v>
      </c>
      <c r="D117" s="4" t="s">
        <v>16</v>
      </c>
      <c r="E117" s="4" t="s">
        <v>292</v>
      </c>
      <c r="F117" s="12">
        <v>42865</v>
      </c>
      <c r="G117" s="15">
        <v>48748</v>
      </c>
      <c r="I117" s="6">
        <v>83</v>
      </c>
      <c r="K117" s="4" t="s">
        <v>45</v>
      </c>
      <c r="L117" s="6">
        <v>9</v>
      </c>
      <c r="M117" s="4" t="s">
        <v>301</v>
      </c>
      <c r="N117" s="31">
        <v>0.05</v>
      </c>
      <c r="O117" s="15">
        <v>2437.4</v>
      </c>
    </row>
    <row r="118" spans="2:15" x14ac:dyDescent="0.35">
      <c r="B118" s="4" t="s">
        <v>229</v>
      </c>
      <c r="C118" s="4" t="s">
        <v>394</v>
      </c>
      <c r="D118" s="4" t="s">
        <v>33</v>
      </c>
      <c r="E118" s="4" t="s">
        <v>294</v>
      </c>
      <c r="F118" s="12">
        <v>43971</v>
      </c>
      <c r="G118" s="15">
        <v>101997</v>
      </c>
      <c r="I118" s="6">
        <v>38</v>
      </c>
      <c r="K118" s="4" t="s">
        <v>116</v>
      </c>
      <c r="L118" s="6">
        <v>6</v>
      </c>
      <c r="M118" s="4" t="s">
        <v>299</v>
      </c>
      <c r="N118" s="31">
        <v>0</v>
      </c>
      <c r="O118" s="15">
        <v>0</v>
      </c>
    </row>
    <row r="119" spans="2:15" x14ac:dyDescent="0.35">
      <c r="B119" s="4" t="s">
        <v>231</v>
      </c>
      <c r="C119" s="4" t="s">
        <v>395</v>
      </c>
      <c r="D119" s="4" t="s">
        <v>97</v>
      </c>
      <c r="E119" s="4" t="s">
        <v>289</v>
      </c>
      <c r="F119" s="12">
        <v>45036</v>
      </c>
      <c r="G119" s="15">
        <v>115260</v>
      </c>
      <c r="I119" s="6">
        <v>77</v>
      </c>
      <c r="K119" s="4" t="s">
        <v>45</v>
      </c>
      <c r="L119" s="6">
        <v>3</v>
      </c>
      <c r="M119" s="4" t="s">
        <v>301</v>
      </c>
      <c r="N119" s="31">
        <v>0.05</v>
      </c>
      <c r="O119" s="15">
        <v>5763</v>
      </c>
    </row>
    <row r="120" spans="2:15" x14ac:dyDescent="0.35">
      <c r="B120" s="4" t="s">
        <v>232</v>
      </c>
      <c r="C120" s="4" t="s">
        <v>396</v>
      </c>
      <c r="D120" s="4" t="s">
        <v>44</v>
      </c>
      <c r="E120" s="4" t="s">
        <v>293</v>
      </c>
      <c r="F120" s="12">
        <v>44500</v>
      </c>
      <c r="G120" s="15">
        <v>83603.930769230763</v>
      </c>
      <c r="I120" s="6">
        <v>49</v>
      </c>
      <c r="K120" s="4" t="s">
        <v>45</v>
      </c>
      <c r="L120" s="6">
        <v>4</v>
      </c>
      <c r="M120" s="4" t="s">
        <v>299</v>
      </c>
      <c r="N120" s="31">
        <v>0</v>
      </c>
      <c r="O120" s="15">
        <v>0</v>
      </c>
    </row>
    <row r="121" spans="2:15" x14ac:dyDescent="0.35">
      <c r="B121" s="4" t="s">
        <v>234</v>
      </c>
      <c r="C121" s="4" t="s">
        <v>338</v>
      </c>
      <c r="D121" s="4" t="s">
        <v>11</v>
      </c>
      <c r="E121" s="4" t="s">
        <v>290</v>
      </c>
      <c r="F121" s="12">
        <v>44493</v>
      </c>
      <c r="G121" s="15">
        <v>83603.930769230763</v>
      </c>
      <c r="I121" s="6">
        <v>69</v>
      </c>
      <c r="K121" s="4" t="s">
        <v>30</v>
      </c>
      <c r="L121" s="6">
        <v>4</v>
      </c>
      <c r="M121" s="4" t="s">
        <v>300</v>
      </c>
      <c r="N121" s="31">
        <v>0.02</v>
      </c>
      <c r="O121" s="15">
        <v>1672.0786153846152</v>
      </c>
    </row>
    <row r="122" spans="2:15" x14ac:dyDescent="0.35">
      <c r="B122" s="4" t="s">
        <v>235</v>
      </c>
      <c r="C122" s="4" t="s">
        <v>397</v>
      </c>
      <c r="D122" s="4" t="s">
        <v>44</v>
      </c>
      <c r="E122" s="4" t="s">
        <v>293</v>
      </c>
      <c r="F122" s="12">
        <v>42956</v>
      </c>
      <c r="G122" s="15">
        <v>83603.930769230763</v>
      </c>
      <c r="I122" s="6">
        <v>76</v>
      </c>
      <c r="K122" s="4" t="s">
        <v>45</v>
      </c>
      <c r="L122" s="6">
        <v>8</v>
      </c>
      <c r="M122" s="4" t="s">
        <v>301</v>
      </c>
      <c r="N122" s="31">
        <v>0.05</v>
      </c>
      <c r="O122" s="15">
        <v>4180.1965384615387</v>
      </c>
    </row>
    <row r="123" spans="2:15" x14ac:dyDescent="0.35">
      <c r="B123" s="4" t="s">
        <v>237</v>
      </c>
      <c r="C123" s="4" t="s">
        <v>398</v>
      </c>
      <c r="D123" s="4" t="s">
        <v>33</v>
      </c>
      <c r="E123" s="4" t="s">
        <v>294</v>
      </c>
      <c r="F123" s="12">
        <v>44930</v>
      </c>
      <c r="G123" s="15">
        <v>60623</v>
      </c>
      <c r="I123" s="6">
        <v>78</v>
      </c>
      <c r="K123" s="4" t="s">
        <v>45</v>
      </c>
      <c r="L123" s="6">
        <v>3</v>
      </c>
      <c r="M123" s="4" t="s">
        <v>301</v>
      </c>
      <c r="N123" s="31">
        <v>0.05</v>
      </c>
      <c r="O123" s="15">
        <v>3031.15</v>
      </c>
    </row>
    <row r="124" spans="2:15" x14ac:dyDescent="0.35">
      <c r="B124" s="4" t="s">
        <v>238</v>
      </c>
      <c r="C124" s="4" t="s">
        <v>350</v>
      </c>
      <c r="D124" s="4" t="s">
        <v>97</v>
      </c>
      <c r="E124" s="4" t="s">
        <v>289</v>
      </c>
      <c r="F124" s="12">
        <v>44053</v>
      </c>
      <c r="G124" s="15">
        <v>68092</v>
      </c>
      <c r="I124" s="6">
        <v>93</v>
      </c>
      <c r="K124" s="4" t="s">
        <v>45</v>
      </c>
      <c r="L124" s="6">
        <v>5</v>
      </c>
      <c r="M124" s="4" t="s">
        <v>302</v>
      </c>
      <c r="N124" s="31">
        <v>0.08</v>
      </c>
      <c r="O124" s="15">
        <v>5447.36</v>
      </c>
    </row>
    <row r="125" spans="2:15" x14ac:dyDescent="0.35">
      <c r="B125" s="4" t="s">
        <v>240</v>
      </c>
      <c r="C125" s="4" t="s">
        <v>330</v>
      </c>
      <c r="D125" s="4" t="s">
        <v>16</v>
      </c>
      <c r="E125" s="4" t="s">
        <v>292</v>
      </c>
      <c r="F125" s="12">
        <v>44653</v>
      </c>
      <c r="G125" s="15">
        <v>88155</v>
      </c>
      <c r="I125" s="6">
        <v>68</v>
      </c>
      <c r="K125" s="4" t="s">
        <v>45</v>
      </c>
      <c r="L125" s="6">
        <v>4</v>
      </c>
      <c r="M125" s="4" t="s">
        <v>300</v>
      </c>
      <c r="N125" s="31">
        <v>0.02</v>
      </c>
      <c r="O125" s="15">
        <v>1763.1000000000001</v>
      </c>
    </row>
    <row r="126" spans="2:15" x14ac:dyDescent="0.35">
      <c r="B126" s="4" t="s">
        <v>241</v>
      </c>
      <c r="C126" s="4" t="s">
        <v>399</v>
      </c>
      <c r="D126" s="4" t="s">
        <v>16</v>
      </c>
      <c r="E126" s="4" t="s">
        <v>292</v>
      </c>
      <c r="F126" s="12">
        <v>43183</v>
      </c>
      <c r="G126" s="15">
        <v>107903</v>
      </c>
      <c r="I126" s="6">
        <v>42</v>
      </c>
      <c r="K126" s="4" t="s">
        <v>45</v>
      </c>
      <c r="L126" s="6">
        <v>8</v>
      </c>
      <c r="M126" s="4" t="s">
        <v>299</v>
      </c>
      <c r="N126" s="31">
        <v>0</v>
      </c>
      <c r="O126" s="15">
        <v>0</v>
      </c>
    </row>
    <row r="127" spans="2:15" x14ac:dyDescent="0.35">
      <c r="B127" s="4" t="s">
        <v>242</v>
      </c>
      <c r="C127" s="4" t="s">
        <v>388</v>
      </c>
      <c r="D127" s="4" t="s">
        <v>11</v>
      </c>
      <c r="E127" s="4" t="s">
        <v>290</v>
      </c>
      <c r="F127" s="12">
        <v>43305</v>
      </c>
      <c r="G127" s="15">
        <v>62818</v>
      </c>
      <c r="I127" s="6">
        <v>34</v>
      </c>
      <c r="K127" s="4" t="s">
        <v>45</v>
      </c>
      <c r="L127" s="6">
        <v>7</v>
      </c>
      <c r="M127" s="4" t="s">
        <v>299</v>
      </c>
      <c r="N127" s="31">
        <v>0</v>
      </c>
      <c r="O127" s="15">
        <v>0</v>
      </c>
    </row>
    <row r="128" spans="2:15" x14ac:dyDescent="0.35">
      <c r="B128" s="4" t="s">
        <v>245</v>
      </c>
      <c r="C128" s="4" t="s">
        <v>375</v>
      </c>
      <c r="D128" s="4" t="s">
        <v>97</v>
      </c>
      <c r="E128" s="4" t="s">
        <v>289</v>
      </c>
      <c r="F128" s="12">
        <v>43301</v>
      </c>
      <c r="G128" s="15">
        <v>85151</v>
      </c>
      <c r="I128" s="6">
        <v>35</v>
      </c>
      <c r="K128" s="4" t="s">
        <v>45</v>
      </c>
      <c r="L128" s="6">
        <v>7</v>
      </c>
      <c r="M128" s="4" t="s">
        <v>299</v>
      </c>
      <c r="N128" s="31">
        <v>0</v>
      </c>
      <c r="O128" s="15">
        <v>0</v>
      </c>
    </row>
    <row r="129" spans="2:15" x14ac:dyDescent="0.35">
      <c r="B129" s="4" t="s">
        <v>246</v>
      </c>
      <c r="C129" s="4" t="s">
        <v>351</v>
      </c>
      <c r="D129" s="4" t="s">
        <v>26</v>
      </c>
      <c r="E129" s="4" t="s">
        <v>291</v>
      </c>
      <c r="F129" s="12">
        <v>42433</v>
      </c>
      <c r="G129" s="15">
        <v>46390</v>
      </c>
      <c r="I129" s="6">
        <v>95</v>
      </c>
      <c r="K129" s="4" t="s">
        <v>45</v>
      </c>
      <c r="L129" s="6">
        <v>10</v>
      </c>
      <c r="M129" s="4" t="s">
        <v>302</v>
      </c>
      <c r="N129" s="31">
        <v>0.08</v>
      </c>
      <c r="O129" s="15">
        <v>3711.2000000000003</v>
      </c>
    </row>
    <row r="130" spans="2:15" x14ac:dyDescent="0.35">
      <c r="B130" s="4" t="s">
        <v>248</v>
      </c>
      <c r="C130" s="4" t="s">
        <v>308</v>
      </c>
      <c r="D130" s="4" t="s">
        <v>97</v>
      </c>
      <c r="E130" s="4" t="s">
        <v>289</v>
      </c>
      <c r="F130" s="12">
        <v>44643</v>
      </c>
      <c r="G130" s="15">
        <v>111920</v>
      </c>
      <c r="I130" s="6">
        <v>90</v>
      </c>
      <c r="K130" s="4" t="s">
        <v>30</v>
      </c>
      <c r="L130" s="6">
        <v>4</v>
      </c>
      <c r="M130" s="4" t="s">
        <v>302</v>
      </c>
      <c r="N130" s="31">
        <v>0.08</v>
      </c>
      <c r="O130" s="15">
        <v>8953.6</v>
      </c>
    </row>
    <row r="131" spans="2:15" x14ac:dyDescent="0.35">
      <c r="B131" s="4" t="s">
        <v>249</v>
      </c>
      <c r="C131" s="4" t="s">
        <v>400</v>
      </c>
      <c r="D131" s="4" t="s">
        <v>97</v>
      </c>
      <c r="E131" s="4" t="s">
        <v>289</v>
      </c>
      <c r="F131" s="12">
        <v>42944</v>
      </c>
      <c r="G131" s="15">
        <v>115618</v>
      </c>
      <c r="I131" s="6">
        <v>42</v>
      </c>
      <c r="K131" s="4" t="s">
        <v>45</v>
      </c>
      <c r="L131" s="6">
        <v>8</v>
      </c>
      <c r="M131" s="4" t="s">
        <v>299</v>
      </c>
      <c r="N131" s="31">
        <v>0</v>
      </c>
      <c r="O131" s="15">
        <v>0</v>
      </c>
    </row>
    <row r="132" spans="2:15" x14ac:dyDescent="0.35">
      <c r="B132" s="4" t="s">
        <v>250</v>
      </c>
      <c r="C132" s="4" t="s">
        <v>401</v>
      </c>
      <c r="D132" s="4" t="s">
        <v>44</v>
      </c>
      <c r="E132" s="4" t="s">
        <v>293</v>
      </c>
      <c r="F132" s="12">
        <v>45057</v>
      </c>
      <c r="G132" s="15">
        <v>110618</v>
      </c>
      <c r="I132" s="6">
        <v>88</v>
      </c>
      <c r="K132" s="4" t="s">
        <v>116</v>
      </c>
      <c r="L132" s="6">
        <v>3</v>
      </c>
      <c r="M132" s="4" t="s">
        <v>302</v>
      </c>
      <c r="N132" s="31">
        <v>0.08</v>
      </c>
      <c r="O132" s="15">
        <v>8849.44</v>
      </c>
    </row>
    <row r="133" spans="2:15" x14ac:dyDescent="0.35">
      <c r="B133" s="4" t="s">
        <v>174</v>
      </c>
      <c r="C133" s="4" t="s">
        <v>402</v>
      </c>
      <c r="D133" s="4" t="s">
        <v>33</v>
      </c>
      <c r="E133" s="4" t="s">
        <v>294</v>
      </c>
      <c r="F133" s="12">
        <v>44639</v>
      </c>
      <c r="G133" s="15">
        <v>108395</v>
      </c>
      <c r="I133" s="6">
        <v>78</v>
      </c>
      <c r="K133" s="4" t="s">
        <v>30</v>
      </c>
      <c r="L133" s="6">
        <v>4</v>
      </c>
      <c r="M133" s="4" t="s">
        <v>301</v>
      </c>
      <c r="N133" s="31">
        <v>0.05</v>
      </c>
      <c r="O133" s="15">
        <v>5419.75</v>
      </c>
    </row>
    <row r="134" spans="2:15" x14ac:dyDescent="0.35">
      <c r="B134" s="4" t="s">
        <v>252</v>
      </c>
      <c r="C134" s="4" t="s">
        <v>347</v>
      </c>
      <c r="D134" s="4" t="s">
        <v>26</v>
      </c>
      <c r="E134" s="4" t="s">
        <v>291</v>
      </c>
      <c r="F134" s="12">
        <v>43091</v>
      </c>
      <c r="G134" s="15">
        <v>88005</v>
      </c>
      <c r="I134" s="6">
        <v>69</v>
      </c>
      <c r="K134" s="4" t="s">
        <v>45</v>
      </c>
      <c r="L134" s="6">
        <v>8</v>
      </c>
      <c r="M134" s="4" t="s">
        <v>300</v>
      </c>
      <c r="N134" s="31">
        <v>0.02</v>
      </c>
      <c r="O134" s="15">
        <v>1760.1000000000001</v>
      </c>
    </row>
    <row r="135" spans="2:15" x14ac:dyDescent="0.35">
      <c r="B135" s="4" t="s">
        <v>253</v>
      </c>
      <c r="C135" s="4" t="s">
        <v>403</v>
      </c>
      <c r="D135" s="4" t="s">
        <v>16</v>
      </c>
      <c r="E135" s="4" t="s">
        <v>292</v>
      </c>
      <c r="F135" s="12">
        <v>44437</v>
      </c>
      <c r="G135" s="15">
        <v>83007</v>
      </c>
      <c r="I135" s="6">
        <v>82</v>
      </c>
      <c r="K135" s="4" t="s">
        <v>45</v>
      </c>
      <c r="L135" s="6">
        <v>4</v>
      </c>
      <c r="M135" s="4" t="s">
        <v>301</v>
      </c>
      <c r="N135" s="31">
        <v>0.05</v>
      </c>
      <c r="O135" s="15">
        <v>4150.3500000000004</v>
      </c>
    </row>
    <row r="136" spans="2:15" x14ac:dyDescent="0.35">
      <c r="B136" s="4" t="s">
        <v>256</v>
      </c>
      <c r="C136" s="4" t="s">
        <v>404</v>
      </c>
      <c r="D136" s="4" t="s">
        <v>11</v>
      </c>
      <c r="E136" s="4" t="s">
        <v>290</v>
      </c>
      <c r="F136" s="12">
        <v>43360</v>
      </c>
      <c r="G136" s="15">
        <v>61547</v>
      </c>
      <c r="I136" s="6">
        <v>68</v>
      </c>
      <c r="K136" s="4" t="s">
        <v>45</v>
      </c>
      <c r="L136" s="6">
        <v>7</v>
      </c>
      <c r="M136" s="4" t="s">
        <v>300</v>
      </c>
      <c r="N136" s="31">
        <v>0.02</v>
      </c>
      <c r="O136" s="15">
        <v>1230.94</v>
      </c>
    </row>
    <row r="137" spans="2:15" x14ac:dyDescent="0.35">
      <c r="B137" s="4" t="s">
        <v>259</v>
      </c>
      <c r="C137" s="4" t="s">
        <v>405</v>
      </c>
      <c r="D137" s="4" t="s">
        <v>44</v>
      </c>
      <c r="E137" s="4" t="s">
        <v>293</v>
      </c>
      <c r="F137" s="12">
        <v>44375</v>
      </c>
      <c r="G137" s="15">
        <v>83603.930769230763</v>
      </c>
      <c r="I137" s="6">
        <v>52</v>
      </c>
      <c r="K137" s="4" t="s">
        <v>45</v>
      </c>
      <c r="L137" s="6">
        <v>5</v>
      </c>
      <c r="M137" s="4" t="s">
        <v>300</v>
      </c>
      <c r="N137" s="31">
        <v>0.02</v>
      </c>
      <c r="O137" s="15">
        <v>1672.0786153846152</v>
      </c>
    </row>
    <row r="138" spans="2:15" x14ac:dyDescent="0.35">
      <c r="B138" s="4" t="s">
        <v>261</v>
      </c>
      <c r="C138" s="4" t="s">
        <v>406</v>
      </c>
      <c r="D138" s="4" t="s">
        <v>33</v>
      </c>
      <c r="E138" s="4" t="s">
        <v>294</v>
      </c>
      <c r="F138" s="12">
        <v>43011</v>
      </c>
      <c r="G138" s="15">
        <v>50399</v>
      </c>
      <c r="I138" s="6">
        <v>92</v>
      </c>
      <c r="K138" s="4" t="s">
        <v>30</v>
      </c>
      <c r="L138" s="6">
        <v>8</v>
      </c>
      <c r="M138" s="4" t="s">
        <v>302</v>
      </c>
      <c r="N138" s="31">
        <v>0.08</v>
      </c>
      <c r="O138" s="15">
        <v>4031.92</v>
      </c>
    </row>
    <row r="139" spans="2:15" x14ac:dyDescent="0.35">
      <c r="B139" s="4" t="s">
        <v>86</v>
      </c>
      <c r="C139" s="4" t="s">
        <v>407</v>
      </c>
      <c r="D139" s="4" t="s">
        <v>26</v>
      </c>
      <c r="E139" s="4" t="s">
        <v>291</v>
      </c>
      <c r="F139" s="12">
        <v>42299</v>
      </c>
      <c r="G139" s="15">
        <v>83603.930769230763</v>
      </c>
      <c r="I139" s="6">
        <v>62</v>
      </c>
      <c r="K139" s="4" t="s">
        <v>45</v>
      </c>
      <c r="L139" s="6">
        <v>10</v>
      </c>
      <c r="M139" s="4" t="s">
        <v>300</v>
      </c>
      <c r="N139" s="31">
        <v>0.02</v>
      </c>
      <c r="O139" s="15">
        <v>1672.0786153846152</v>
      </c>
    </row>
    <row r="140" spans="2:15" x14ac:dyDescent="0.35">
      <c r="B140" s="4" t="s">
        <v>262</v>
      </c>
      <c r="C140" s="4" t="s">
        <v>408</v>
      </c>
      <c r="D140" s="4" t="s">
        <v>33</v>
      </c>
      <c r="E140" s="4" t="s">
        <v>294</v>
      </c>
      <c r="F140" s="12">
        <v>43257</v>
      </c>
      <c r="G140" s="15">
        <v>52720</v>
      </c>
      <c r="I140" s="6">
        <v>68</v>
      </c>
      <c r="K140" s="4" t="s">
        <v>45</v>
      </c>
      <c r="L140" s="6">
        <v>8</v>
      </c>
      <c r="M140" s="4" t="s">
        <v>300</v>
      </c>
      <c r="N140" s="31">
        <v>0.02</v>
      </c>
      <c r="O140" s="15">
        <v>1054.4000000000001</v>
      </c>
    </row>
    <row r="141" spans="2:15" x14ac:dyDescent="0.35">
      <c r="B141" s="4" t="s">
        <v>264</v>
      </c>
      <c r="C141" s="4" t="s">
        <v>409</v>
      </c>
      <c r="D141" s="4" t="s">
        <v>33</v>
      </c>
      <c r="E141" s="4" t="s">
        <v>294</v>
      </c>
      <c r="F141" s="12">
        <v>42932</v>
      </c>
      <c r="G141" s="15">
        <v>65065</v>
      </c>
      <c r="I141" s="6">
        <v>98</v>
      </c>
      <c r="K141" s="4" t="s">
        <v>45</v>
      </c>
      <c r="L141" s="6">
        <v>8</v>
      </c>
      <c r="M141" s="4" t="s">
        <v>303</v>
      </c>
      <c r="N141" s="31">
        <v>0.12</v>
      </c>
      <c r="O141" s="15">
        <v>7807.7999999999993</v>
      </c>
    </row>
    <row r="142" spans="2:15" x14ac:dyDescent="0.35">
      <c r="B142" s="4" t="s">
        <v>266</v>
      </c>
      <c r="C142" s="4" t="s">
        <v>402</v>
      </c>
      <c r="D142" s="4" t="s">
        <v>44</v>
      </c>
      <c r="E142" s="4" t="s">
        <v>293</v>
      </c>
      <c r="F142" s="12">
        <v>42175</v>
      </c>
      <c r="G142" s="15">
        <v>83603.930769230763</v>
      </c>
      <c r="I142" s="6">
        <v>94</v>
      </c>
      <c r="K142" s="4" t="s">
        <v>116</v>
      </c>
      <c r="L142" s="6">
        <v>11</v>
      </c>
      <c r="M142" s="4" t="s">
        <v>302</v>
      </c>
      <c r="N142" s="31">
        <v>0.08</v>
      </c>
      <c r="O142" s="15">
        <v>6688.3144615384608</v>
      </c>
    </row>
    <row r="143" spans="2:15" x14ac:dyDescent="0.35">
      <c r="B143" s="4" t="s">
        <v>267</v>
      </c>
      <c r="C143" s="4" t="s">
        <v>402</v>
      </c>
      <c r="D143" s="4" t="s">
        <v>33</v>
      </c>
      <c r="E143" s="4" t="s">
        <v>294</v>
      </c>
      <c r="F143" s="12">
        <v>43609</v>
      </c>
      <c r="G143" s="15">
        <v>108119</v>
      </c>
      <c r="I143" s="6">
        <v>57</v>
      </c>
      <c r="K143" s="4" t="s">
        <v>116</v>
      </c>
      <c r="L143" s="6">
        <v>7</v>
      </c>
      <c r="M143" s="4" t="s">
        <v>300</v>
      </c>
      <c r="N143" s="31">
        <v>0.02</v>
      </c>
      <c r="O143" s="15">
        <v>2162.38</v>
      </c>
    </row>
    <row r="144" spans="2:15" x14ac:dyDescent="0.35">
      <c r="B144" s="4" t="s">
        <v>269</v>
      </c>
      <c r="C144" s="4" t="s">
        <v>349</v>
      </c>
      <c r="D144" s="4" t="s">
        <v>11</v>
      </c>
      <c r="E144" s="4" t="s">
        <v>290</v>
      </c>
      <c r="F144" s="12">
        <v>43887</v>
      </c>
      <c r="G144" s="15">
        <v>83603.930769230763</v>
      </c>
      <c r="I144" s="6">
        <v>96</v>
      </c>
      <c r="K144" s="4" t="s">
        <v>45</v>
      </c>
      <c r="L144" s="6">
        <v>6</v>
      </c>
      <c r="M144" s="4" t="s">
        <v>303</v>
      </c>
      <c r="N144" s="31">
        <v>0.12</v>
      </c>
      <c r="O144" s="15">
        <v>10032.47169230769</v>
      </c>
    </row>
    <row r="145" spans="2:15" x14ac:dyDescent="0.35">
      <c r="B145" s="4" t="s">
        <v>271</v>
      </c>
      <c r="C145" s="4" t="s">
        <v>352</v>
      </c>
      <c r="D145" s="4" t="s">
        <v>97</v>
      </c>
      <c r="E145" s="4" t="s">
        <v>289</v>
      </c>
      <c r="F145" s="12">
        <v>44991</v>
      </c>
      <c r="G145" s="15">
        <v>106896</v>
      </c>
      <c r="I145" s="6">
        <v>52</v>
      </c>
      <c r="K145" s="4" t="s">
        <v>30</v>
      </c>
      <c r="L145" s="6">
        <v>3</v>
      </c>
      <c r="M145" s="4" t="s">
        <v>300</v>
      </c>
      <c r="N145" s="31">
        <v>0.02</v>
      </c>
      <c r="O145" s="15">
        <v>2137.92</v>
      </c>
    </row>
    <row r="146" spans="2:15" x14ac:dyDescent="0.35">
      <c r="B146" s="4" t="s">
        <v>272</v>
      </c>
      <c r="C146" s="4" t="s">
        <v>410</v>
      </c>
      <c r="D146" s="4" t="s">
        <v>11</v>
      </c>
      <c r="E146" s="4" t="s">
        <v>290</v>
      </c>
      <c r="F146" s="12">
        <v>43477</v>
      </c>
      <c r="G146" s="15">
        <v>112887</v>
      </c>
      <c r="I146" s="6">
        <v>59</v>
      </c>
      <c r="K146" s="4" t="s">
        <v>45</v>
      </c>
      <c r="L146" s="6">
        <v>7</v>
      </c>
      <c r="M146" s="4" t="s">
        <v>300</v>
      </c>
      <c r="N146" s="31">
        <v>0.02</v>
      </c>
      <c r="O146" s="15">
        <v>2257.7400000000002</v>
      </c>
    </row>
    <row r="147" spans="2:15" x14ac:dyDescent="0.35">
      <c r="B147" s="4" t="s">
        <v>273</v>
      </c>
      <c r="C147" s="4" t="s">
        <v>411</v>
      </c>
      <c r="D147" s="4" t="s">
        <v>26</v>
      </c>
      <c r="E147" s="4" t="s">
        <v>291</v>
      </c>
      <c r="F147" s="12">
        <v>45037</v>
      </c>
      <c r="G147" s="15">
        <v>85457</v>
      </c>
      <c r="I147" s="6">
        <v>79</v>
      </c>
      <c r="K147" s="4" t="s">
        <v>45</v>
      </c>
      <c r="L147" s="6">
        <v>3</v>
      </c>
      <c r="M147" s="4" t="s">
        <v>301</v>
      </c>
      <c r="N147" s="31">
        <v>0.05</v>
      </c>
      <c r="O147" s="15">
        <v>4272.8500000000004</v>
      </c>
    </row>
    <row r="148" spans="2:15" x14ac:dyDescent="0.35">
      <c r="B148" s="4" t="s">
        <v>274</v>
      </c>
      <c r="C148" s="4" t="s">
        <v>412</v>
      </c>
      <c r="D148" s="4" t="s">
        <v>44</v>
      </c>
      <c r="E148" s="4" t="s">
        <v>293</v>
      </c>
      <c r="F148" s="12">
        <v>42519</v>
      </c>
      <c r="G148" s="15">
        <v>62798</v>
      </c>
      <c r="I148" s="6">
        <v>30</v>
      </c>
      <c r="K148" s="4" t="s">
        <v>45</v>
      </c>
      <c r="L148" s="6">
        <v>10</v>
      </c>
      <c r="M148" s="4" t="s">
        <v>299</v>
      </c>
      <c r="N148" s="31">
        <v>0</v>
      </c>
      <c r="O148" s="15">
        <v>0</v>
      </c>
    </row>
    <row r="149" spans="2:15" x14ac:dyDescent="0.35">
      <c r="B149" s="4" t="s">
        <v>276</v>
      </c>
      <c r="C149" s="4" t="s">
        <v>413</v>
      </c>
      <c r="D149" s="4" t="s">
        <v>33</v>
      </c>
      <c r="E149" s="4" t="s">
        <v>294</v>
      </c>
      <c r="F149" s="12">
        <v>44711</v>
      </c>
      <c r="G149" s="15">
        <v>47794</v>
      </c>
      <c r="I149" s="6">
        <v>73</v>
      </c>
      <c r="K149" s="4" t="s">
        <v>30</v>
      </c>
      <c r="L149" s="6">
        <v>4</v>
      </c>
      <c r="M149" s="4" t="s">
        <v>301</v>
      </c>
      <c r="N149" s="31">
        <v>0.05</v>
      </c>
      <c r="O149" s="15">
        <v>2389.7000000000003</v>
      </c>
    </row>
    <row r="150" spans="2:15" x14ac:dyDescent="0.35">
      <c r="B150" s="4" t="s">
        <v>277</v>
      </c>
      <c r="C150" s="4" t="s">
        <v>394</v>
      </c>
      <c r="D150" s="4" t="s">
        <v>16</v>
      </c>
      <c r="E150" s="4" t="s">
        <v>292</v>
      </c>
      <c r="F150" s="12">
        <v>42677</v>
      </c>
      <c r="G150" s="15">
        <v>93094</v>
      </c>
      <c r="I150" s="6">
        <v>74</v>
      </c>
      <c r="K150" s="4" t="s">
        <v>45</v>
      </c>
      <c r="L150" s="6">
        <v>9</v>
      </c>
      <c r="M150" s="4" t="s">
        <v>301</v>
      </c>
      <c r="N150" s="31">
        <v>0.05</v>
      </c>
      <c r="O150" s="15">
        <v>4654.7</v>
      </c>
    </row>
    <row r="151" spans="2:15" x14ac:dyDescent="0.35">
      <c r="B151" s="4" t="s">
        <v>278</v>
      </c>
      <c r="C151" s="4" t="s">
        <v>391</v>
      </c>
      <c r="D151" s="4" t="s">
        <v>11</v>
      </c>
      <c r="E151" s="4" t="s">
        <v>290</v>
      </c>
      <c r="F151" s="12">
        <v>44848</v>
      </c>
      <c r="G151" s="15">
        <v>118634</v>
      </c>
      <c r="I151" s="6">
        <v>91</v>
      </c>
      <c r="K151" s="4" t="s">
        <v>45</v>
      </c>
      <c r="L151" s="6">
        <v>3</v>
      </c>
      <c r="M151" s="4" t="s">
        <v>302</v>
      </c>
      <c r="N151" s="31">
        <v>0.08</v>
      </c>
      <c r="O151" s="15">
        <v>9490.7199999999993</v>
      </c>
    </row>
    <row r="152" spans="2:15" x14ac:dyDescent="0.35">
      <c r="B152" s="4" t="s">
        <v>215</v>
      </c>
    </row>
    <row r="153" spans="2:15" x14ac:dyDescent="0.35">
      <c r="B153" s="4" t="s">
        <v>280</v>
      </c>
    </row>
    <row r="154" spans="2:15" x14ac:dyDescent="0.35">
      <c r="B154" s="4" t="s">
        <v>281</v>
      </c>
    </row>
    <row r="155" spans="2:15" x14ac:dyDescent="0.35">
      <c r="B155" s="4" t="s">
        <v>282</v>
      </c>
    </row>
    <row r="156" spans="2:15" x14ac:dyDescent="0.35">
      <c r="B156" s="4" t="s">
        <v>89</v>
      </c>
    </row>
    <row r="157" spans="2:15" x14ac:dyDescent="0.35">
      <c r="B157" s="4" t="s">
        <v>283</v>
      </c>
    </row>
    <row r="158" spans="2:15" x14ac:dyDescent="0.35">
      <c r="B158" s="4" t="s">
        <v>285</v>
      </c>
    </row>
  </sheetData>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249977111117893"/>
  </sheetPr>
  <dimension ref="A3:L44"/>
  <sheetViews>
    <sheetView zoomScale="70" zoomScaleNormal="70" workbookViewId="0"/>
  </sheetViews>
  <sheetFormatPr defaultRowHeight="14.5" x14ac:dyDescent="0.35"/>
  <cols>
    <col min="1" max="1" width="15.54296875" bestFit="1" customWidth="1"/>
    <col min="2" max="2" width="20.90625" bestFit="1" customWidth="1"/>
    <col min="3" max="3" width="27.36328125" bestFit="1" customWidth="1"/>
    <col min="4" max="4" width="26.1796875" bestFit="1" customWidth="1"/>
    <col min="5" max="5" width="19.1796875" bestFit="1" customWidth="1"/>
    <col min="6" max="6" width="26.81640625" bestFit="1" customWidth="1"/>
    <col min="7" max="7" width="14.6328125" bestFit="1" customWidth="1"/>
    <col min="8" max="8" width="8.26953125" bestFit="1" customWidth="1"/>
    <col min="9" max="9" width="16.36328125" bestFit="1" customWidth="1"/>
    <col min="10" max="10" width="12.08984375" bestFit="1" customWidth="1"/>
    <col min="11" max="11" width="27.36328125" bestFit="1" customWidth="1"/>
    <col min="12" max="12" width="27.81640625" bestFit="1" customWidth="1"/>
  </cols>
  <sheetData>
    <row r="3" spans="1:6" x14ac:dyDescent="0.35">
      <c r="A3" t="s">
        <v>429</v>
      </c>
      <c r="B3" t="s">
        <v>427</v>
      </c>
      <c r="C3" t="s">
        <v>430</v>
      </c>
      <c r="D3" t="s">
        <v>443</v>
      </c>
      <c r="E3" s="53" t="s">
        <v>451</v>
      </c>
    </row>
    <row r="4" spans="1:6" x14ac:dyDescent="0.35">
      <c r="A4" s="42">
        <v>140</v>
      </c>
      <c r="B4" s="43">
        <v>11636996.68461539</v>
      </c>
      <c r="C4" s="43">
        <v>83121.40489010993</v>
      </c>
      <c r="D4" s="43">
        <v>305143.16607692308</v>
      </c>
      <c r="E4" s="54">
        <f>Attritionrate+RESIGNEDTOTAL</f>
        <v>0.17142857142857143</v>
      </c>
    </row>
    <row r="6" spans="1:6" x14ac:dyDescent="0.35">
      <c r="A6" s="45" t="s">
        <v>440</v>
      </c>
      <c r="B6" s="45"/>
      <c r="C6" s="45"/>
      <c r="E6" s="52" t="s">
        <v>449</v>
      </c>
      <c r="F6" s="52"/>
    </row>
    <row r="7" spans="1:6" x14ac:dyDescent="0.35">
      <c r="A7" s="37" t="s">
        <v>414</v>
      </c>
      <c r="B7" t="s">
        <v>430</v>
      </c>
      <c r="C7" t="s">
        <v>433</v>
      </c>
      <c r="E7" s="37" t="s">
        <v>422</v>
      </c>
      <c r="F7" t="s">
        <v>432</v>
      </c>
    </row>
    <row r="8" spans="1:6" x14ac:dyDescent="0.35">
      <c r="A8" s="38" t="s">
        <v>291</v>
      </c>
      <c r="B8" s="29">
        <v>87173.576018099542</v>
      </c>
      <c r="C8" s="6">
        <v>17</v>
      </c>
      <c r="E8" s="38" t="s">
        <v>45</v>
      </c>
      <c r="F8" s="6">
        <v>67.677391937833818</v>
      </c>
    </row>
    <row r="9" spans="1:6" x14ac:dyDescent="0.35">
      <c r="A9" s="38" t="s">
        <v>289</v>
      </c>
      <c r="B9" s="29">
        <v>87534.466515837106</v>
      </c>
      <c r="C9" s="6">
        <v>17</v>
      </c>
      <c r="E9" s="38" t="s">
        <v>30</v>
      </c>
      <c r="F9" s="6">
        <v>67.12852112676056</v>
      </c>
    </row>
    <row r="10" spans="1:6" x14ac:dyDescent="0.35">
      <c r="A10" s="38" t="s">
        <v>290</v>
      </c>
      <c r="B10" s="29">
        <v>80377.695701357457</v>
      </c>
      <c r="C10" s="6">
        <v>34</v>
      </c>
    </row>
    <row r="11" spans="1:6" x14ac:dyDescent="0.35">
      <c r="A11" s="38" t="s">
        <v>292</v>
      </c>
      <c r="B11" s="29">
        <v>85407.94372469635</v>
      </c>
      <c r="C11" s="6">
        <v>19</v>
      </c>
      <c r="F11" s="6"/>
    </row>
    <row r="12" spans="1:6" x14ac:dyDescent="0.35">
      <c r="A12" s="38" t="s">
        <v>294</v>
      </c>
      <c r="B12" s="29">
        <v>76219.327564102554</v>
      </c>
      <c r="C12" s="6">
        <v>24</v>
      </c>
      <c r="E12" s="41" t="s">
        <v>441</v>
      </c>
      <c r="F12" s="41"/>
    </row>
    <row r="13" spans="1:6" x14ac:dyDescent="0.35">
      <c r="A13" s="38" t="s">
        <v>293</v>
      </c>
      <c r="B13" s="29">
        <v>85589.776392572923</v>
      </c>
      <c r="C13" s="6">
        <v>29</v>
      </c>
      <c r="E13" s="37" t="s">
        <v>422</v>
      </c>
      <c r="F13" t="s">
        <v>438</v>
      </c>
    </row>
    <row r="14" spans="1:6" x14ac:dyDescent="0.35">
      <c r="E14" s="38" t="s">
        <v>45</v>
      </c>
      <c r="F14" s="24">
        <v>0.82857142857142863</v>
      </c>
    </row>
    <row r="15" spans="1:6" x14ac:dyDescent="0.35">
      <c r="E15" s="38" t="s">
        <v>30</v>
      </c>
      <c r="F15" s="24">
        <v>0.17142857142857143</v>
      </c>
    </row>
    <row r="17" spans="1:12" x14ac:dyDescent="0.35">
      <c r="A17" s="45" t="s">
        <v>450</v>
      </c>
      <c r="B17" s="45"/>
      <c r="I17" s="45"/>
      <c r="J17" s="45"/>
      <c r="K17" s="44"/>
      <c r="L17" s="44"/>
    </row>
    <row r="18" spans="1:12" x14ac:dyDescent="0.35">
      <c r="A18" s="37" t="s">
        <v>7</v>
      </c>
      <c r="B18" s="37" t="s">
        <v>414</v>
      </c>
      <c r="C18" t="s">
        <v>434</v>
      </c>
      <c r="E18" s="41" t="s">
        <v>442</v>
      </c>
      <c r="F18" s="41"/>
    </row>
    <row r="19" spans="1:12" x14ac:dyDescent="0.35">
      <c r="A19" s="49" t="s">
        <v>45</v>
      </c>
      <c r="B19" t="s">
        <v>290</v>
      </c>
      <c r="C19" s="24">
        <v>0.2</v>
      </c>
      <c r="E19" s="37" t="s">
        <v>422</v>
      </c>
      <c r="F19" t="s">
        <v>437</v>
      </c>
    </row>
    <row r="20" spans="1:12" x14ac:dyDescent="0.35">
      <c r="A20" s="49"/>
      <c r="B20" t="s">
        <v>293</v>
      </c>
      <c r="C20" s="24">
        <v>0.17857142857142858</v>
      </c>
      <c r="E20" s="38" t="s">
        <v>299</v>
      </c>
      <c r="F20" s="39">
        <v>0</v>
      </c>
    </row>
    <row r="21" spans="1:12" x14ac:dyDescent="0.35">
      <c r="A21" s="49"/>
      <c r="B21" t="s">
        <v>294</v>
      </c>
      <c r="C21" s="24">
        <v>0.12857142857142856</v>
      </c>
      <c r="E21" s="38" t="s">
        <v>303</v>
      </c>
      <c r="F21" s="39">
        <v>17840.271692307688</v>
      </c>
    </row>
    <row r="22" spans="1:12" x14ac:dyDescent="0.35">
      <c r="A22" s="49"/>
      <c r="B22" t="s">
        <v>292</v>
      </c>
      <c r="C22" s="24">
        <v>0.11428571428571428</v>
      </c>
      <c r="E22" s="38" t="s">
        <v>302</v>
      </c>
      <c r="F22" s="39">
        <v>55646.719999999994</v>
      </c>
    </row>
    <row r="23" spans="1:12" x14ac:dyDescent="0.35">
      <c r="A23" s="49"/>
      <c r="B23" t="s">
        <v>289</v>
      </c>
      <c r="C23" s="24">
        <v>0.10714285714285714</v>
      </c>
      <c r="E23" s="38" t="s">
        <v>301</v>
      </c>
      <c r="F23" s="39">
        <v>64258.796538461538</v>
      </c>
    </row>
    <row r="24" spans="1:12" x14ac:dyDescent="0.35">
      <c r="A24" s="49"/>
      <c r="B24" t="s">
        <v>291</v>
      </c>
      <c r="C24" s="24">
        <v>0.1</v>
      </c>
      <c r="E24" s="38" t="s">
        <v>300</v>
      </c>
      <c r="F24" s="39">
        <v>167397.37784615383</v>
      </c>
    </row>
    <row r="25" spans="1:12" x14ac:dyDescent="0.35">
      <c r="A25" t="s">
        <v>435</v>
      </c>
      <c r="C25" s="24">
        <v>0.82857142857142863</v>
      </c>
    </row>
    <row r="26" spans="1:12" x14ac:dyDescent="0.35">
      <c r="A26" s="49" t="s">
        <v>30</v>
      </c>
      <c r="B26" t="s">
        <v>294</v>
      </c>
      <c r="C26" s="24">
        <v>4.2857142857142858E-2</v>
      </c>
    </row>
    <row r="27" spans="1:12" x14ac:dyDescent="0.35">
      <c r="A27" s="49"/>
      <c r="B27" t="s">
        <v>290</v>
      </c>
      <c r="C27" s="24">
        <v>4.2857142857142858E-2</v>
      </c>
      <c r="E27" s="46" t="s">
        <v>444</v>
      </c>
      <c r="F27" s="46"/>
      <c r="G27" s="46"/>
    </row>
    <row r="28" spans="1:12" x14ac:dyDescent="0.35">
      <c r="A28" s="49"/>
      <c r="B28" t="s">
        <v>293</v>
      </c>
      <c r="C28" s="24">
        <v>2.8571428571428571E-2</v>
      </c>
      <c r="E28" s="37" t="s">
        <v>439</v>
      </c>
      <c r="F28" t="s">
        <v>431</v>
      </c>
    </row>
    <row r="29" spans="1:12" x14ac:dyDescent="0.35">
      <c r="A29" s="49"/>
      <c r="B29" t="s">
        <v>291</v>
      </c>
      <c r="C29" s="24">
        <v>2.1428571428571429E-2</v>
      </c>
    </row>
    <row r="30" spans="1:12" x14ac:dyDescent="0.35">
      <c r="A30" s="49"/>
      <c r="B30" t="s">
        <v>292</v>
      </c>
      <c r="C30" s="24">
        <v>2.1428571428571429E-2</v>
      </c>
      <c r="E30" s="37" t="s">
        <v>7</v>
      </c>
      <c r="F30" s="37" t="s">
        <v>414</v>
      </c>
      <c r="G30" t="s">
        <v>428</v>
      </c>
    </row>
    <row r="31" spans="1:12" x14ac:dyDescent="0.35">
      <c r="A31" s="49"/>
      <c r="B31" t="s">
        <v>289</v>
      </c>
      <c r="C31" s="24">
        <v>1.4285714285714285E-2</v>
      </c>
      <c r="E31" t="s">
        <v>45</v>
      </c>
      <c r="F31" t="s">
        <v>291</v>
      </c>
      <c r="G31" s="6">
        <v>14</v>
      </c>
    </row>
    <row r="32" spans="1:12" x14ac:dyDescent="0.35">
      <c r="A32" s="50" t="s">
        <v>436</v>
      </c>
      <c r="B32" s="50"/>
      <c r="C32" s="51">
        <v>0.17142857142857143</v>
      </c>
      <c r="F32" t="s">
        <v>289</v>
      </c>
      <c r="G32" s="6">
        <v>15</v>
      </c>
    </row>
    <row r="33" spans="5:10" x14ac:dyDescent="0.35">
      <c r="F33" t="s">
        <v>292</v>
      </c>
      <c r="G33" s="6">
        <v>16</v>
      </c>
    </row>
    <row r="34" spans="5:10" x14ac:dyDescent="0.35">
      <c r="F34" t="s">
        <v>294</v>
      </c>
      <c r="G34" s="6">
        <v>18</v>
      </c>
    </row>
    <row r="35" spans="5:10" x14ac:dyDescent="0.35">
      <c r="F35" t="s">
        <v>293</v>
      </c>
      <c r="G35" s="6">
        <v>25</v>
      </c>
    </row>
    <row r="36" spans="5:10" x14ac:dyDescent="0.35">
      <c r="F36" t="s">
        <v>290</v>
      </c>
      <c r="G36" s="6">
        <v>28</v>
      </c>
    </row>
    <row r="37" spans="5:10" x14ac:dyDescent="0.35">
      <c r="E37" t="s">
        <v>435</v>
      </c>
      <c r="G37" s="6">
        <v>116</v>
      </c>
    </row>
    <row r="38" spans="5:10" x14ac:dyDescent="0.35">
      <c r="E38" t="s">
        <v>30</v>
      </c>
      <c r="F38" t="s">
        <v>289</v>
      </c>
      <c r="G38" s="6">
        <v>2</v>
      </c>
    </row>
    <row r="39" spans="5:10" x14ac:dyDescent="0.35">
      <c r="F39" t="s">
        <v>291</v>
      </c>
      <c r="G39" s="6">
        <v>3</v>
      </c>
    </row>
    <row r="40" spans="5:10" x14ac:dyDescent="0.35">
      <c r="F40" t="s">
        <v>292</v>
      </c>
      <c r="G40" s="6">
        <v>3</v>
      </c>
      <c r="I40" s="45"/>
      <c r="J40" s="45"/>
    </row>
    <row r="41" spans="5:10" x14ac:dyDescent="0.35">
      <c r="F41" t="s">
        <v>293</v>
      </c>
      <c r="G41" s="6">
        <v>4</v>
      </c>
    </row>
    <row r="42" spans="5:10" x14ac:dyDescent="0.35">
      <c r="F42" t="s">
        <v>290</v>
      </c>
      <c r="G42" s="6">
        <v>6</v>
      </c>
    </row>
    <row r="43" spans="5:10" x14ac:dyDescent="0.35">
      <c r="F43" t="s">
        <v>294</v>
      </c>
      <c r="G43" s="6">
        <v>6</v>
      </c>
    </row>
    <row r="44" spans="5:10" x14ac:dyDescent="0.35">
      <c r="E44" t="s">
        <v>436</v>
      </c>
      <c r="G44" s="6">
        <v>24</v>
      </c>
    </row>
  </sheetData>
  <mergeCells count="7">
    <mergeCell ref="K17:L17"/>
    <mergeCell ref="E27:G27"/>
    <mergeCell ref="A6:C6"/>
    <mergeCell ref="I17:J17"/>
    <mergeCell ref="I40:J40"/>
    <mergeCell ref="A17:B17"/>
    <mergeCell ref="E6:F6"/>
  </mergeCells>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8824-D92B-4570-AC0E-7CDF8D449310}">
  <sheetPr>
    <tabColor rgb="FFFFC000"/>
  </sheetPr>
  <dimension ref="A1"/>
  <sheetViews>
    <sheetView showGridLines="0" topLeftCell="A10" zoomScale="30" zoomScaleNormal="30" workbookViewId="0">
      <selection activeCell="AF47" sqref="AF4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15</vt:i4>
      </vt:variant>
    </vt:vector>
  </HeadingPairs>
  <TitlesOfParts>
    <vt:vector size="22" baseType="lpstr">
      <vt:lpstr>Lookup_Departments</vt:lpstr>
      <vt:lpstr>Lookup_Performance</vt:lpstr>
      <vt:lpstr>Raw_Employee_Data</vt:lpstr>
      <vt:lpstr>Formula sheet</vt:lpstr>
      <vt:lpstr>Clean Data</vt:lpstr>
      <vt:lpstr>Analysis </vt:lpstr>
      <vt:lpstr>HR Dashboard</vt:lpstr>
      <vt:lpstr>Active</vt:lpstr>
      <vt:lpstr>activestaff</vt:lpstr>
      <vt:lpstr>Attritionrate</vt:lpstr>
      <vt:lpstr>AVERAGESALARY</vt:lpstr>
      <vt:lpstr>Bonusamount</vt:lpstr>
      <vt:lpstr>HEADCOUNT</vt:lpstr>
      <vt:lpstr>Left</vt:lpstr>
      <vt:lpstr>leftstaff</vt:lpstr>
      <vt:lpstr>Overallattrition</vt:lpstr>
      <vt:lpstr>Resigned</vt:lpstr>
      <vt:lpstr>resignedstaff</vt:lpstr>
      <vt:lpstr>RESIGNEDTOTAL</vt:lpstr>
      <vt:lpstr>SALARY</vt:lpstr>
      <vt:lpstr>total</vt:lpstr>
      <vt:lpstr>TOTALSALARY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Joy Erhaye</cp:lastModifiedBy>
  <dcterms:created xsi:type="dcterms:W3CDTF">2026-06-04T20:20:01Z</dcterms:created>
  <dcterms:modified xsi:type="dcterms:W3CDTF">2026-07-08T15:46:16Z</dcterms:modified>
</cp:coreProperties>
</file>